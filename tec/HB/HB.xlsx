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al/Desktop/sc-rp/techniques/HB/"/>
    </mc:Choice>
  </mc:AlternateContent>
  <xr:revisionPtr revIDLastSave="0" documentId="13_ncr:1_{266796F5-054E-8141-AC56-0A0DD76425C9}" xr6:coauthVersionLast="47" xr6:coauthVersionMax="47" xr10:uidLastSave="{00000000-0000-0000-0000-000000000000}"/>
  <bookViews>
    <workbookView xWindow="1300" yWindow="1320" windowWidth="30000" windowHeight="20680" activeTab="2" xr2:uid="{C667F81E-0266-394F-8AA7-6D98E7FA0136}"/>
  </bookViews>
  <sheets>
    <sheet name="freq" sheetId="1" r:id="rId1"/>
    <sheet name="t-stat" sheetId="3" r:id="rId2"/>
    <sheet name="lofo rps resul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" i="1" l="1"/>
  <c r="K90" i="1"/>
  <c r="L90" i="1"/>
  <c r="A90" i="1"/>
  <c r="B90" i="1"/>
  <c r="C90" i="1"/>
  <c r="D90" i="1"/>
  <c r="E90" i="1"/>
  <c r="F90" i="1"/>
  <c r="G90" i="1"/>
  <c r="H90" i="1"/>
  <c r="I90" i="1"/>
  <c r="B89" i="1"/>
  <c r="C89" i="1"/>
  <c r="D89" i="1"/>
  <c r="E89" i="1"/>
  <c r="F89" i="1"/>
  <c r="G89" i="1"/>
  <c r="H89" i="1"/>
  <c r="J89" i="1"/>
  <c r="K89" i="1"/>
  <c r="L89" i="1"/>
  <c r="B87" i="1"/>
  <c r="C87" i="1"/>
  <c r="D87" i="1"/>
  <c r="E87" i="1"/>
  <c r="F87" i="1"/>
  <c r="G87" i="1"/>
  <c r="H87" i="1"/>
  <c r="I87" i="1"/>
  <c r="J87" i="1"/>
  <c r="K87" i="1"/>
  <c r="L87" i="1"/>
  <c r="A87" i="1"/>
  <c r="B86" i="1"/>
  <c r="C86" i="1"/>
  <c r="D86" i="1"/>
  <c r="E86" i="1"/>
  <c r="F86" i="1"/>
  <c r="G86" i="1"/>
  <c r="H86" i="1"/>
  <c r="I86" i="1"/>
  <c r="J86" i="1"/>
  <c r="K86" i="1"/>
  <c r="L86" i="1"/>
  <c r="A86" i="1"/>
  <c r="B85" i="1"/>
  <c r="C85" i="1"/>
  <c r="D85" i="1"/>
  <c r="E85" i="1"/>
  <c r="F85" i="1"/>
  <c r="G85" i="1"/>
  <c r="H85" i="1"/>
  <c r="I85" i="1"/>
  <c r="J85" i="1"/>
  <c r="K85" i="1"/>
  <c r="L85" i="1"/>
  <c r="A85" i="1"/>
  <c r="M86" i="1"/>
  <c r="M85" i="1"/>
</calcChain>
</file>

<file path=xl/sharedStrings.xml><?xml version="1.0" encoding="utf-8"?>
<sst xmlns="http://schemas.openxmlformats.org/spreadsheetml/2006/main" count="32" uniqueCount="20">
  <si>
    <t>s1sc-cc</t>
  </si>
  <si>
    <t>s1sc-dm</t>
  </si>
  <si>
    <t>s1cc-dm</t>
  </si>
  <si>
    <t>s2sc-cc</t>
  </si>
  <si>
    <t>s2sc-dm</t>
  </si>
  <si>
    <t>s2cc-dm</t>
  </si>
  <si>
    <t>s3sc-cc</t>
  </si>
  <si>
    <t>s3sc-dm</t>
  </si>
  <si>
    <t>s3cc-dm</t>
  </si>
  <si>
    <t>s4sc-cc</t>
  </si>
  <si>
    <t>s4sc-dm</t>
  </si>
  <si>
    <t>s4cc-dm</t>
  </si>
  <si>
    <t>Upper CI</t>
  </si>
  <si>
    <t>Feature</t>
  </si>
  <si>
    <t>RPS Drop Mean</t>
  </si>
  <si>
    <t>Lower CI</t>
  </si>
  <si>
    <t>T-statistics</t>
  </si>
  <si>
    <t>P-value (greater)</t>
  </si>
  <si>
    <t>Significant Count (&lt;0.05)</t>
  </si>
  <si>
    <t>Fold Stability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</si>
</sst>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11" fontId="2" fillId="0" borderId="0" xfId="0" applyNumberFormat="1" applyFont="1"/>
    <xf numFmtId="0" fontId="0" fillId="2" borderId="0" xfId="0" applyFill="1"/>
    <xf numFmtId="0" fontId="1" fillId="3" borderId="0" xfId="0" applyFont="1" applyFill="1"/>
    <xf numFmtId="0" fontId="5" fillId="0" borderId="0" xfId="0" applyFont="1"/>
    <xf numFmtId="11" fontId="0" fillId="0" borderId="0" xfId="0" applyNumberForma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4" borderId="0" xfId="0" applyFill="1"/>
    <xf numFmtId="0" fontId="6" fillId="0" borderId="0" xfId="0" applyFon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cap="all" spc="50" baseline="0">
                <a:solidFill>
                  <a:schemeClr val="tx1"/>
                </a:solidFill>
                <a:latin typeface="Apple Symbols" panose="02000000000000000000" pitchFamily="2" charset="-79"/>
                <a:ea typeface="+mn-ea"/>
                <a:cs typeface="+mn-cs"/>
              </a:defRPr>
            </a:pPr>
            <a:r>
              <a:rPr lang="en-US" sz="2500" baseline="0">
                <a:solidFill>
                  <a:schemeClr val="tx1"/>
                </a:solidFill>
                <a:latin typeface="Apple Symbols" panose="02000000000000000000" pitchFamily="2" charset="-79"/>
              </a:rPr>
              <a:t>Frequency of positive and negative RPS drop mean of different features across folds (HB)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cap="all" spc="50" baseline="0">
              <a:solidFill>
                <a:schemeClr val="tx1"/>
              </a:solidFill>
              <a:latin typeface="Apple Symbols" panose="02000000000000000000" pitchFamily="2" charset="-79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Fq. of Positive Drops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s1sc-cc</c:v>
              </c:pt>
              <c:pt idx="1">
                <c:v>s1sc-dm</c:v>
              </c:pt>
              <c:pt idx="2">
                <c:v>s1cc-dm</c:v>
              </c:pt>
              <c:pt idx="3">
                <c:v>s2sc-cc</c:v>
              </c:pt>
              <c:pt idx="4">
                <c:v>s2sc-dm</c:v>
              </c:pt>
              <c:pt idx="5">
                <c:v>s2cc-dm</c:v>
              </c:pt>
              <c:pt idx="6">
                <c:v>s3sc-cc</c:v>
              </c:pt>
              <c:pt idx="7">
                <c:v>s3sc-dm</c:v>
              </c:pt>
              <c:pt idx="8">
                <c:v>s3cc-dm</c:v>
              </c:pt>
              <c:pt idx="9">
                <c:v>s4sc-cc</c:v>
              </c:pt>
              <c:pt idx="10">
                <c:v>s4sc-dm</c:v>
              </c:pt>
              <c:pt idx="11">
                <c:v>s4cc-dm</c:v>
              </c:pt>
            </c:strLit>
          </c:cat>
          <c:val>
            <c:numRef>
              <c:f>freq!$A$89:$L$89</c:f>
              <c:numCache>
                <c:formatCode>General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47</c:v>
                </c:pt>
                <c:pt idx="3">
                  <c:v>48</c:v>
                </c:pt>
                <c:pt idx="4">
                  <c:v>50</c:v>
                </c:pt>
                <c:pt idx="5">
                  <c:v>45</c:v>
                </c:pt>
                <c:pt idx="6">
                  <c:v>42</c:v>
                </c:pt>
                <c:pt idx="7">
                  <c:v>51</c:v>
                </c:pt>
                <c:pt idx="8">
                  <c:v>49</c:v>
                </c:pt>
                <c:pt idx="9">
                  <c:v>46</c:v>
                </c:pt>
                <c:pt idx="10">
                  <c:v>40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4-4740-B0DA-7D3FEA04D6C1}"/>
            </c:ext>
          </c:extLst>
        </c:ser>
        <c:ser>
          <c:idx val="1"/>
          <c:order val="1"/>
          <c:tx>
            <c:v>Fq. of Negative Drops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s1sc-cc</c:v>
              </c:pt>
              <c:pt idx="1">
                <c:v>s1sc-dm</c:v>
              </c:pt>
              <c:pt idx="2">
                <c:v>s1cc-dm</c:v>
              </c:pt>
              <c:pt idx="3">
                <c:v>s2sc-cc</c:v>
              </c:pt>
              <c:pt idx="4">
                <c:v>s2sc-dm</c:v>
              </c:pt>
              <c:pt idx="5">
                <c:v>s2cc-dm</c:v>
              </c:pt>
              <c:pt idx="6">
                <c:v>s3sc-cc</c:v>
              </c:pt>
              <c:pt idx="7">
                <c:v>s3sc-dm</c:v>
              </c:pt>
              <c:pt idx="8">
                <c:v>s3cc-dm</c:v>
              </c:pt>
              <c:pt idx="9">
                <c:v>s4sc-cc</c:v>
              </c:pt>
              <c:pt idx="10">
                <c:v>s4sc-dm</c:v>
              </c:pt>
              <c:pt idx="11">
                <c:v>s4cc-dm</c:v>
              </c:pt>
            </c:strLit>
          </c:cat>
          <c:val>
            <c:numRef>
              <c:f>freq!$A$90:$L$90</c:f>
              <c:numCache>
                <c:formatCode>General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36</c:v>
                </c:pt>
                <c:pt idx="3">
                  <c:v>35</c:v>
                </c:pt>
                <c:pt idx="4">
                  <c:v>33</c:v>
                </c:pt>
                <c:pt idx="5">
                  <c:v>38</c:v>
                </c:pt>
                <c:pt idx="6">
                  <c:v>41</c:v>
                </c:pt>
                <c:pt idx="7">
                  <c:v>32</c:v>
                </c:pt>
                <c:pt idx="8">
                  <c:v>34</c:v>
                </c:pt>
                <c:pt idx="9">
                  <c:v>37</c:v>
                </c:pt>
                <c:pt idx="10">
                  <c:v>43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4-4740-B0DA-7D3FEA04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2266415"/>
        <c:axId val="622268127"/>
      </c:barChart>
      <c:catAx>
        <c:axId val="6222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ppleGothic" pitchFamily="2" charset="-127"/>
                <a:ea typeface="+mn-ea"/>
                <a:cs typeface="+mn-cs"/>
              </a:defRPr>
            </a:pPr>
            <a:endParaRPr lang="en-US"/>
          </a:p>
        </c:txPr>
        <c:crossAx val="622268127"/>
        <c:crosses val="autoZero"/>
        <c:auto val="1"/>
        <c:lblAlgn val="ctr"/>
        <c:lblOffset val="100"/>
        <c:noMultiLvlLbl val="0"/>
      </c:catAx>
      <c:valAx>
        <c:axId val="622268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cap="all" baseline="0">
                    <a:solidFill>
                      <a:schemeClr val="tx1"/>
                    </a:solidFill>
                    <a:latin typeface="AppleGothic" pitchFamily="2" charset="-127"/>
                    <a:ea typeface="+mn-ea"/>
                    <a:cs typeface="+mn-cs"/>
                  </a:defRPr>
                </a:pPr>
                <a:r>
                  <a:rPr lang="en-US" sz="1500" b="1" i="0" baseline="0">
                    <a:solidFill>
                      <a:schemeClr val="tx1"/>
                    </a:solidFill>
                    <a:latin typeface="AppleGothic" pitchFamily="2" charset="-127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cap="all" baseline="0">
                  <a:solidFill>
                    <a:schemeClr val="tx1"/>
                  </a:solidFill>
                  <a:latin typeface="AppleGothic" pitchFamily="2" charset="-12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AppleGothic" pitchFamily="2" charset="-127"/>
                <a:ea typeface="+mn-ea"/>
                <a:cs typeface="+mn-cs"/>
              </a:defRPr>
            </a:pPr>
            <a:endParaRPr lang="en-US"/>
          </a:p>
        </c:txPr>
        <c:crossAx val="62226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ppleGothic" pitchFamily="2" charset="-12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Lucida Bright" panose="02040602050505020304" pitchFamily="18" charset="77"/>
              </a:rPr>
              <a:t>T-statistics (HB)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850-9341-BF60-A06B4C5D6D8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850-9341-BF60-A06B4C5D6D8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850-9341-BF60-A06B4C5D6D8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850-9341-BF60-A06B4C5D6D8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B850-9341-BF60-A06B4C5D6D8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B850-9341-BF60-A06B4C5D6D8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B850-9341-BF60-A06B4C5D6D8B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B850-9341-BF60-A06B4C5D6D8B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B850-9341-BF60-A06B4C5D6D8B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B850-9341-BF60-A06B4C5D6D8B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B850-9341-BF60-A06B4C5D6D8B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B850-9341-BF60-A06B4C5D6D8B}"/>
              </c:ext>
            </c:extLst>
          </c:dPt>
          <c:cat>
            <c:strRef>
              <c:f>'t-stat'!$A$1:$A$12</c:f>
              <c:strCache>
                <c:ptCount val="12"/>
                <c:pt idx="0">
                  <c:v>s3cc-dm</c:v>
                </c:pt>
                <c:pt idx="1">
                  <c:v>s3sc-dm</c:v>
                </c:pt>
                <c:pt idx="2">
                  <c:v>s1cc-dm</c:v>
                </c:pt>
                <c:pt idx="3">
                  <c:v>s2sc-dm</c:v>
                </c:pt>
                <c:pt idx="4">
                  <c:v>s4cc-dm</c:v>
                </c:pt>
                <c:pt idx="5">
                  <c:v>s1sc-cc</c:v>
                </c:pt>
                <c:pt idx="6">
                  <c:v>s2sc-cc</c:v>
                </c:pt>
                <c:pt idx="7">
                  <c:v>s1sc-dm</c:v>
                </c:pt>
                <c:pt idx="8">
                  <c:v>s3sc-cc</c:v>
                </c:pt>
                <c:pt idx="9">
                  <c:v>s4sc-dm</c:v>
                </c:pt>
                <c:pt idx="10">
                  <c:v>s4sc-cc</c:v>
                </c:pt>
                <c:pt idx="11">
                  <c:v>s2cc-dm</c:v>
                </c:pt>
              </c:strCache>
            </c:strRef>
          </c:cat>
          <c:val>
            <c:numRef>
              <c:f>'t-stat'!$B$1:$B$12</c:f>
              <c:numCache>
                <c:formatCode>General</c:formatCode>
                <c:ptCount val="12"/>
                <c:pt idx="0">
                  <c:v>2.7294461340643301</c:v>
                </c:pt>
                <c:pt idx="1">
                  <c:v>2.5725710606950498</c:v>
                </c:pt>
                <c:pt idx="2">
                  <c:v>1.9253532716525299</c:v>
                </c:pt>
                <c:pt idx="3">
                  <c:v>1.6872190462893299</c:v>
                </c:pt>
                <c:pt idx="4">
                  <c:v>1.2954212659118001</c:v>
                </c:pt>
                <c:pt idx="5">
                  <c:v>1.2855310631285499</c:v>
                </c:pt>
                <c:pt idx="6">
                  <c:v>1.1278562389809701</c:v>
                </c:pt>
                <c:pt idx="7">
                  <c:v>1.0476346986346601</c:v>
                </c:pt>
                <c:pt idx="8">
                  <c:v>0.76121976366213895</c:v>
                </c:pt>
                <c:pt idx="9">
                  <c:v>0.549303166209267</c:v>
                </c:pt>
                <c:pt idx="10">
                  <c:v>0.53038641958154897</c:v>
                </c:pt>
                <c:pt idx="11">
                  <c:v>0.44759151752236298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50-9341-BF60-A06B4C5D6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1699182128"/>
        <c:axId val="1699502576"/>
        <c:axId val="0"/>
      </c:bar3DChart>
      <c:catAx>
        <c:axId val="169918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Lucida Bright" panose="02040602050505020304" pitchFamily="18" charset="77"/>
                  </a:rPr>
                  <a:t>Connectivity features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Lucida Bright" panose="02040602050505020304" pitchFamily="18" charset="77"/>
                <a:ea typeface="+mn-ea"/>
                <a:cs typeface="+mn-cs"/>
              </a:defRPr>
            </a:pPr>
            <a:endParaRPr lang="en-US"/>
          </a:p>
        </c:txPr>
        <c:crossAx val="1699502576"/>
        <c:crosses val="autoZero"/>
        <c:auto val="1"/>
        <c:lblAlgn val="ctr"/>
        <c:lblOffset val="100"/>
        <c:noMultiLvlLbl val="0"/>
      </c:catAx>
      <c:valAx>
        <c:axId val="1699502576"/>
        <c:scaling>
          <c:orientation val="minMax"/>
          <c:max val="2.8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Lucida Bright" panose="02040602050505020304" pitchFamily="18" charset="77"/>
                <a:ea typeface="+mn-ea"/>
                <a:cs typeface="+mn-cs"/>
              </a:defRPr>
            </a:pPr>
            <a:endParaRPr lang="en-US"/>
          </a:p>
        </c:txPr>
        <c:crossAx val="1699182128"/>
        <c:crosses val="autoZero"/>
        <c:crossBetween val="between"/>
        <c:majorUnit val="0.09"/>
        <c:min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435243</xdr:colOff>
      <xdr:row>1</xdr:row>
      <xdr:rowOff>43049</xdr:rowOff>
    </xdr:from>
    <xdr:to>
      <xdr:col>22</xdr:col>
      <xdr:colOff>86102</xdr:colOff>
      <xdr:row>36</xdr:row>
      <xdr:rowOff>86102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040132E-882D-BF9D-3916-BA2C3087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673100</xdr:colOff>
      <xdr:row>2</xdr:row>
      <xdr:rowOff>165100</xdr:rowOff>
    </xdr:from>
    <xdr:to>
      <xdr:col>15</xdr:col>
      <xdr:colOff>215900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098F0-8A6D-C241-8E89-76CDD54F9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D1894A-FB1B-644A-B986-4D6C601E9A70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B69A-5C84-6646-BFC7-20BAA9ECA88A}">
  <dimension ref="A1:Q90"/>
  <sheetViews>
    <sheetView topLeftCell="A68" zoomScale="118" workbookViewId="0">
      <selection activeCell="O54" sqref="O54"/>
    </sheetView>
  </sheetViews>
  <sheetFormatPr baseColWidth="10" defaultRowHeight="16" x14ac:dyDescent="0.2"/>
  <cols>
    <col min="9" max="9" width="10.83203125" style="5"/>
  </cols>
  <sheetData>
    <row r="1" spans="1:17" x14ac:dyDescent="0.2">
      <c r="A1">
        <v>7.4420538424133601E-3</v>
      </c>
      <c r="B1">
        <v>9.9061440277479207E-3</v>
      </c>
      <c r="C1">
        <v>9.2653067179586605E-3</v>
      </c>
      <c r="D1">
        <v>6.9185699647231697E-3</v>
      </c>
      <c r="E1">
        <v>7.0666682370479298E-3</v>
      </c>
      <c r="F1">
        <v>1.7382188021509901E-2</v>
      </c>
      <c r="G1">
        <v>-4.0098957106469097E-3</v>
      </c>
      <c r="H1">
        <v>-1.51624179720233E-3</v>
      </c>
      <c r="I1">
        <v>8.5612464147910496E-4</v>
      </c>
      <c r="J1">
        <v>-7.6354002820027099E-3</v>
      </c>
      <c r="K1">
        <v>-4.3284738520146197E-3</v>
      </c>
      <c r="L1">
        <v>-2.39483429064879E-3</v>
      </c>
      <c r="M1" s="2"/>
      <c r="N1" s="2"/>
      <c r="O1" s="2"/>
      <c r="P1" s="2"/>
      <c r="Q1" s="2"/>
    </row>
    <row r="2" spans="1:17" x14ac:dyDescent="0.2">
      <c r="A2">
        <v>-1.33447714605807E-2</v>
      </c>
      <c r="B2">
        <v>-1.52606514562956E-2</v>
      </c>
      <c r="C2">
        <v>-1.41710249628879E-2</v>
      </c>
      <c r="D2">
        <v>-1.9256902652515701E-2</v>
      </c>
      <c r="E2">
        <v>1.27514006977709E-2</v>
      </c>
      <c r="F2">
        <v>2.2770009082838199E-2</v>
      </c>
      <c r="G2">
        <v>2.5442891547844598E-2</v>
      </c>
      <c r="H2">
        <v>2.0451251912845601E-2</v>
      </c>
      <c r="I2">
        <v>2.6892205268358199E-2</v>
      </c>
      <c r="J2">
        <v>1.9153035801455501E-2</v>
      </c>
      <c r="K2">
        <v>1.9763689205091601E-2</v>
      </c>
      <c r="L2">
        <v>3.2853792572788303E-2</v>
      </c>
      <c r="M2" s="2"/>
      <c r="N2" s="2"/>
      <c r="O2" s="2"/>
      <c r="P2" s="2"/>
      <c r="Q2" s="2"/>
    </row>
    <row r="3" spans="1:17" x14ac:dyDescent="0.2">
      <c r="A3">
        <v>-5.52716618799919E-3</v>
      </c>
      <c r="B3">
        <v>-1.09836006556722E-2</v>
      </c>
      <c r="C3">
        <v>-4.8697296785249402E-4</v>
      </c>
      <c r="D3">
        <v>-3.0086565295643899E-3</v>
      </c>
      <c r="E3">
        <v>-4.6541057734952301E-3</v>
      </c>
      <c r="F3">
        <v>-2.11942514782847E-4</v>
      </c>
      <c r="G3">
        <v>-1.28835968387148E-2</v>
      </c>
      <c r="H3">
        <v>-5.4526914055861297E-3</v>
      </c>
      <c r="I3">
        <v>-8.1676868476767694E-3</v>
      </c>
      <c r="J3">
        <v>-2.0194117840396101E-2</v>
      </c>
      <c r="K3">
        <v>-2.6406934397050899E-2</v>
      </c>
      <c r="L3">
        <v>-4.39094069745049E-3</v>
      </c>
      <c r="M3" s="2"/>
      <c r="N3" s="2"/>
      <c r="O3" s="2"/>
      <c r="P3" s="2"/>
      <c r="Q3" s="2"/>
    </row>
    <row r="4" spans="1:17" x14ac:dyDescent="0.2">
      <c r="A4">
        <v>-4.54297718530849E-3</v>
      </c>
      <c r="B4">
        <v>1.6375963430730701E-2</v>
      </c>
      <c r="C4">
        <v>1.1794958300751701E-2</v>
      </c>
      <c r="D4">
        <v>1.68438602263529E-2</v>
      </c>
      <c r="E4">
        <v>2.1439462781062301E-2</v>
      </c>
      <c r="F4">
        <v>2.1609099195658499E-2</v>
      </c>
      <c r="G4">
        <v>1.54864303834865E-2</v>
      </c>
      <c r="H4">
        <v>3.5380223691643099E-2</v>
      </c>
      <c r="I4">
        <v>2.7809218644943599E-2</v>
      </c>
      <c r="J4">
        <v>2.1644680404130499E-2</v>
      </c>
      <c r="K4">
        <v>2.4378976778018001E-2</v>
      </c>
      <c r="L4">
        <v>3.09915713489026E-2</v>
      </c>
      <c r="M4" s="2"/>
      <c r="N4" s="2"/>
      <c r="O4" s="2"/>
      <c r="P4" s="2"/>
      <c r="Q4" s="2"/>
    </row>
    <row r="5" spans="1:17" x14ac:dyDescent="0.2">
      <c r="A5">
        <v>-1.1561977286334E-4</v>
      </c>
      <c r="B5">
        <v>-9.5641270274908693E-3</v>
      </c>
      <c r="C5">
        <v>6.2140736999776102E-3</v>
      </c>
      <c r="D5">
        <v>7.8792957951989706E-3</v>
      </c>
      <c r="E5">
        <v>7.0525894476816103E-3</v>
      </c>
      <c r="F5">
        <v>1.1131858857392899E-2</v>
      </c>
      <c r="G5">
        <v>2.8261811435932298E-3</v>
      </c>
      <c r="H5">
        <v>7.8415251975316701E-3</v>
      </c>
      <c r="I5">
        <v>4.7694820118841996E-3</v>
      </c>
      <c r="J5">
        <v>6.1842037871686602E-3</v>
      </c>
      <c r="K5">
        <v>3.75982397584451E-3</v>
      </c>
      <c r="L5">
        <v>8.9914506382040502E-3</v>
      </c>
      <c r="M5" s="2"/>
      <c r="N5" s="2"/>
      <c r="O5" s="2"/>
      <c r="P5" s="2"/>
      <c r="Q5" s="2"/>
    </row>
    <row r="6" spans="1:17" x14ac:dyDescent="0.2">
      <c r="A6">
        <v>9.1825382220429505E-3</v>
      </c>
      <c r="B6">
        <v>5.4850673520627702E-3</v>
      </c>
      <c r="C6">
        <v>7.7711482105913198E-3</v>
      </c>
      <c r="D6">
        <v>5.5196714123555398E-3</v>
      </c>
      <c r="E6">
        <v>5.6822725389524802E-3</v>
      </c>
      <c r="F6">
        <v>-1.25908869312274E-2</v>
      </c>
      <c r="G6">
        <v>-3.0126959424805399E-3</v>
      </c>
      <c r="H6">
        <v>4.1072081805921803E-3</v>
      </c>
      <c r="I6">
        <v>7.6263229897195403E-3</v>
      </c>
      <c r="J6">
        <v>1.9683417886113799E-3</v>
      </c>
      <c r="K6" s="8">
        <v>-8.7560878306191999E-5</v>
      </c>
      <c r="L6">
        <v>5.3646010514274397E-3</v>
      </c>
      <c r="M6" s="2"/>
      <c r="N6" s="2"/>
      <c r="O6" s="2"/>
      <c r="P6" s="2"/>
      <c r="Q6" s="2"/>
    </row>
    <row r="7" spans="1:17" x14ac:dyDescent="0.2">
      <c r="A7">
        <v>7.7569739953808796E-3</v>
      </c>
      <c r="B7">
        <v>7.0146500547902902E-3</v>
      </c>
      <c r="C7">
        <v>1.20236157766591E-2</v>
      </c>
      <c r="D7">
        <v>8.7830910779276294E-3</v>
      </c>
      <c r="E7">
        <v>5.3126010270236803E-3</v>
      </c>
      <c r="F7">
        <v>7.0015257260687101E-3</v>
      </c>
      <c r="G7">
        <v>2.8045449834053198E-3</v>
      </c>
      <c r="H7">
        <v>6.61502494679044E-3</v>
      </c>
      <c r="I7">
        <v>2.0975704595568499E-2</v>
      </c>
      <c r="J7">
        <v>-7.4447667704777799E-3</v>
      </c>
      <c r="K7">
        <v>-1.9209747837996001E-3</v>
      </c>
      <c r="L7">
        <v>6.9989632477005497E-3</v>
      </c>
      <c r="M7" s="2"/>
      <c r="N7" s="2"/>
      <c r="O7" s="2"/>
      <c r="P7" s="2"/>
      <c r="Q7" s="2"/>
    </row>
    <row r="8" spans="1:17" x14ac:dyDescent="0.2">
      <c r="A8">
        <v>4.0795850646571097E-3</v>
      </c>
      <c r="B8">
        <v>5.9544503975681399E-3</v>
      </c>
      <c r="C8">
        <v>-1.3381730022241601E-2</v>
      </c>
      <c r="D8">
        <v>3.6535584445553898E-3</v>
      </c>
      <c r="E8">
        <v>1.1721755264748101E-2</v>
      </c>
      <c r="F8">
        <v>1.7955298770896602E-2</v>
      </c>
      <c r="G8">
        <v>3.4850038192889302E-2</v>
      </c>
      <c r="H8">
        <v>2.7442757866066501E-2</v>
      </c>
      <c r="I8">
        <v>2.0372893290628101E-2</v>
      </c>
      <c r="J8">
        <v>2.5989765622384999E-2</v>
      </c>
      <c r="K8">
        <v>2.50232593299211E-2</v>
      </c>
      <c r="L8">
        <v>4.5518326347266901E-3</v>
      </c>
      <c r="M8" s="2"/>
      <c r="N8" s="2"/>
      <c r="O8" s="2"/>
      <c r="P8" s="2"/>
      <c r="Q8" s="2"/>
    </row>
    <row r="9" spans="1:17" x14ac:dyDescent="0.2">
      <c r="A9">
        <v>8.6805609490596593E-3</v>
      </c>
      <c r="B9">
        <v>1.5735167502175001E-2</v>
      </c>
      <c r="C9">
        <v>1.71402142849101E-2</v>
      </c>
      <c r="D9">
        <v>1.1441453483409501E-2</v>
      </c>
      <c r="E9">
        <v>1.0241386861973199E-2</v>
      </c>
      <c r="F9">
        <v>9.6155356923297505E-3</v>
      </c>
      <c r="G9">
        <v>4.4388999951250297E-3</v>
      </c>
      <c r="H9">
        <v>1.45502093372655E-2</v>
      </c>
      <c r="I9">
        <v>2.60147140281752E-2</v>
      </c>
      <c r="J9">
        <v>1.3816503828476099E-2</v>
      </c>
      <c r="K9">
        <v>2.49002040896781E-2</v>
      </c>
      <c r="L9">
        <v>1.8859765647633201E-2</v>
      </c>
      <c r="M9" s="2"/>
      <c r="N9" s="2"/>
      <c r="O9" s="2"/>
      <c r="P9" s="2"/>
      <c r="Q9" s="2"/>
    </row>
    <row r="10" spans="1:17" x14ac:dyDescent="0.2">
      <c r="A10">
        <v>6.6932712145266696E-3</v>
      </c>
      <c r="B10">
        <v>8.0169280242410306E-3</v>
      </c>
      <c r="C10">
        <v>1.47896230222643E-2</v>
      </c>
      <c r="D10">
        <v>9.6110302037617501E-3</v>
      </c>
      <c r="E10">
        <v>8.01183568791064E-3</v>
      </c>
      <c r="F10">
        <v>7.8570583770884994E-3</v>
      </c>
      <c r="G10">
        <v>1.05791283008045E-2</v>
      </c>
      <c r="H10">
        <v>1.0662427697931199E-2</v>
      </c>
      <c r="I10">
        <v>1.3654200701848701E-2</v>
      </c>
      <c r="J10">
        <v>4.1708876991188798E-3</v>
      </c>
      <c r="K10">
        <v>-6.3015591146395799E-3</v>
      </c>
      <c r="L10">
        <v>9.5416940621699808E-3</v>
      </c>
      <c r="M10" s="2"/>
      <c r="N10" s="2"/>
      <c r="O10" s="2"/>
      <c r="P10" s="2"/>
      <c r="Q10" s="2"/>
    </row>
    <row r="11" spans="1:17" x14ac:dyDescent="0.2">
      <c r="A11">
        <v>1.0334051039746E-2</v>
      </c>
      <c r="B11">
        <v>5.7632089904906501E-3</v>
      </c>
      <c r="C11">
        <v>8.4333376498299997E-3</v>
      </c>
      <c r="D11">
        <v>-1.02578560513588E-3</v>
      </c>
      <c r="E11">
        <v>4.2501084380752703E-3</v>
      </c>
      <c r="F11">
        <v>1.4051634339473601E-3</v>
      </c>
      <c r="G11">
        <v>1.78447848184681E-3</v>
      </c>
      <c r="H11">
        <v>1.66248162395277E-3</v>
      </c>
      <c r="I11">
        <v>1.83172333223726E-2</v>
      </c>
      <c r="J11">
        <v>5.0693977496649697E-3</v>
      </c>
      <c r="K11">
        <v>-2.6396230664627003E-4</v>
      </c>
      <c r="L11">
        <v>1.2865088821528399E-2</v>
      </c>
      <c r="M11" s="2"/>
      <c r="N11" s="2"/>
      <c r="O11" s="2"/>
      <c r="P11" s="2"/>
      <c r="Q11" s="2"/>
    </row>
    <row r="12" spans="1:17" x14ac:dyDescent="0.2">
      <c r="A12">
        <v>2.27282466874596E-2</v>
      </c>
      <c r="B12">
        <v>1.24898654290035E-2</v>
      </c>
      <c r="C12">
        <v>1.79326785160327E-2</v>
      </c>
      <c r="D12">
        <v>-7.7900623476487799E-3</v>
      </c>
      <c r="E12">
        <v>8.3806319601231697E-3</v>
      </c>
      <c r="F12">
        <v>9.0504645605715597E-4</v>
      </c>
      <c r="G12">
        <v>-1.16548019388318E-4</v>
      </c>
      <c r="H12">
        <v>2.1943836274733199E-2</v>
      </c>
      <c r="I12">
        <v>2.0642949874679802E-2</v>
      </c>
      <c r="J12">
        <v>1.3729363002561E-2</v>
      </c>
      <c r="K12">
        <v>4.8299729043632597E-3</v>
      </c>
      <c r="L12">
        <v>2.9255238606335599E-2</v>
      </c>
      <c r="M12" s="2"/>
      <c r="N12" s="2"/>
      <c r="O12" s="2"/>
      <c r="P12" s="2"/>
      <c r="Q12" s="2"/>
    </row>
    <row r="13" spans="1:17" x14ac:dyDescent="0.2">
      <c r="A13">
        <v>1.1374872485657E-2</v>
      </c>
      <c r="B13">
        <v>5.3331711700730297E-3</v>
      </c>
      <c r="C13">
        <v>-7.8126755936622702E-3</v>
      </c>
      <c r="D13">
        <v>-1.4083105530806599E-3</v>
      </c>
      <c r="E13">
        <v>5.8807936163569599E-3</v>
      </c>
      <c r="F13">
        <v>3.5014926171221799E-3</v>
      </c>
      <c r="G13">
        <v>1.25203147712236E-2</v>
      </c>
      <c r="H13">
        <v>-3.3866782228830698E-3</v>
      </c>
      <c r="I13">
        <v>1.8400627245472999E-2</v>
      </c>
      <c r="J13">
        <v>1.5248110115956E-2</v>
      </c>
      <c r="K13">
        <v>2.3798778868926E-2</v>
      </c>
      <c r="L13">
        <v>2.4850070902093698E-4</v>
      </c>
      <c r="M13" s="2"/>
      <c r="N13" s="2"/>
      <c r="O13" s="2"/>
      <c r="P13" s="2"/>
      <c r="Q13" s="2"/>
    </row>
    <row r="14" spans="1:17" x14ac:dyDescent="0.2">
      <c r="A14">
        <v>-5.1684625788332899E-3</v>
      </c>
      <c r="B14">
        <v>6.0196142675570299E-3</v>
      </c>
      <c r="C14">
        <v>-8.0360785742037404E-3</v>
      </c>
      <c r="D14">
        <v>-1.2565695825042401E-2</v>
      </c>
      <c r="E14">
        <v>5.3806211838320897E-3</v>
      </c>
      <c r="F14">
        <v>-1.7426014502395198E-2</v>
      </c>
      <c r="G14">
        <v>-2.2796394909811099E-2</v>
      </c>
      <c r="H14">
        <v>-1.8633722223580802E-2</v>
      </c>
      <c r="I14">
        <v>-1.2898822486090601E-2</v>
      </c>
      <c r="J14">
        <v>-1.7416897909796999E-2</v>
      </c>
      <c r="K14">
        <v>-2.04923129464669E-2</v>
      </c>
      <c r="L14">
        <v>6.2095374998305504E-3</v>
      </c>
      <c r="M14" s="2"/>
      <c r="N14" s="2"/>
      <c r="O14" s="2"/>
      <c r="P14" s="2"/>
      <c r="Q14" s="2"/>
    </row>
    <row r="15" spans="1:17" x14ac:dyDescent="0.2">
      <c r="A15">
        <v>6.4669855576084904E-3</v>
      </c>
      <c r="B15">
        <v>1.4371917098153501E-2</v>
      </c>
      <c r="C15">
        <v>1.8006852438340899E-2</v>
      </c>
      <c r="D15">
        <v>6.6208327453560704E-3</v>
      </c>
      <c r="E15">
        <v>5.6958880687511997E-3</v>
      </c>
      <c r="F15">
        <v>-1.81652610397176E-3</v>
      </c>
      <c r="G15">
        <v>1.1147135348086701E-2</v>
      </c>
      <c r="H15">
        <v>5.5843045116121797E-3</v>
      </c>
      <c r="I15">
        <v>5.1769065768496603E-3</v>
      </c>
      <c r="J15">
        <v>-4.1083392797736096E-3</v>
      </c>
      <c r="K15">
        <v>-7.6699774677599902E-3</v>
      </c>
      <c r="L15">
        <v>-1.4117656166606899E-2</v>
      </c>
      <c r="M15" s="2"/>
      <c r="N15" s="2"/>
      <c r="O15" s="2"/>
      <c r="P15" s="2"/>
      <c r="Q15" s="2"/>
    </row>
    <row r="16" spans="1:17" x14ac:dyDescent="0.2">
      <c r="A16">
        <v>2.3721927975178501E-2</v>
      </c>
      <c r="B16">
        <v>2.5941571935295099E-4</v>
      </c>
      <c r="C16">
        <v>1.0619037313578999E-2</v>
      </c>
      <c r="D16">
        <v>1.0989767945535E-3</v>
      </c>
      <c r="E16">
        <v>-5.4263657080424396E-3</v>
      </c>
      <c r="F16">
        <v>-1.7357174238294502E-2</v>
      </c>
      <c r="G16">
        <v>-9.0618628149918801E-4</v>
      </c>
      <c r="H16">
        <v>-1.9511448280198299E-2</v>
      </c>
      <c r="I16">
        <v>1.5067362640377399E-2</v>
      </c>
      <c r="J16">
        <v>3.0306822886867401E-3</v>
      </c>
      <c r="K16">
        <v>1.11970002136132E-2</v>
      </c>
      <c r="L16">
        <v>2.9301254286484502E-2</v>
      </c>
      <c r="M16" s="2"/>
      <c r="N16" s="2"/>
      <c r="O16" s="2"/>
      <c r="P16" s="2"/>
      <c r="Q16" s="2"/>
    </row>
    <row r="17" spans="1:17" x14ac:dyDescent="0.2">
      <c r="A17">
        <v>3.1193290089994701E-3</v>
      </c>
      <c r="B17">
        <v>-7.8544555021355898E-3</v>
      </c>
      <c r="C17">
        <v>7.1646363472075399E-3</v>
      </c>
      <c r="D17">
        <v>-1.1724071816741901E-2</v>
      </c>
      <c r="E17">
        <v>-2.8996961737624001E-3</v>
      </c>
      <c r="F17">
        <v>6.1673033631741703E-3</v>
      </c>
      <c r="G17">
        <v>7.5047523156257503E-3</v>
      </c>
      <c r="H17">
        <v>2.9704569696982199E-3</v>
      </c>
      <c r="I17">
        <v>2.7335592412858201E-2</v>
      </c>
      <c r="J17">
        <v>-1.69050165697433E-2</v>
      </c>
      <c r="K17">
        <v>-1.3037916357517601E-2</v>
      </c>
      <c r="L17">
        <v>-1.3669047592045101E-2</v>
      </c>
      <c r="M17" s="2"/>
      <c r="N17" s="2"/>
      <c r="O17" s="2"/>
      <c r="P17" s="2"/>
      <c r="Q17" s="2"/>
    </row>
    <row r="18" spans="1:17" x14ac:dyDescent="0.2">
      <c r="A18">
        <v>5.4675518551610099E-3</v>
      </c>
      <c r="B18">
        <v>-2.9910322976007802E-3</v>
      </c>
      <c r="C18">
        <v>9.1631682704542694E-3</v>
      </c>
      <c r="D18">
        <v>1.8650796925689901E-4</v>
      </c>
      <c r="E18">
        <v>-1.2618665637586599E-2</v>
      </c>
      <c r="F18">
        <v>1.97968043687177E-2</v>
      </c>
      <c r="G18">
        <v>1.70433451123412E-2</v>
      </c>
      <c r="H18">
        <v>1.22970803246775E-2</v>
      </c>
      <c r="I18">
        <v>1.82922144908408E-2</v>
      </c>
      <c r="J18">
        <v>-2.5623525674874002E-2</v>
      </c>
      <c r="K18">
        <v>2.4041500641933601E-3</v>
      </c>
      <c r="L18">
        <v>-6.30152256893712E-3</v>
      </c>
      <c r="M18" s="2"/>
      <c r="N18" s="2"/>
      <c r="O18" s="2"/>
      <c r="P18" s="2"/>
      <c r="Q18" s="2"/>
    </row>
    <row r="19" spans="1:17" x14ac:dyDescent="0.2">
      <c r="A19">
        <v>-2.6405629719074598E-2</v>
      </c>
      <c r="B19">
        <v>-1.8000287568398199E-4</v>
      </c>
      <c r="C19">
        <v>-1.2051654271551999E-3</v>
      </c>
      <c r="D19">
        <v>-7.0386523051890705E-4</v>
      </c>
      <c r="E19">
        <v>1.08811857221358E-3</v>
      </c>
      <c r="F19">
        <v>-2.38367703094182E-2</v>
      </c>
      <c r="G19">
        <v>1.52967558220531E-2</v>
      </c>
      <c r="H19">
        <v>2.6164168391147699E-2</v>
      </c>
      <c r="I19">
        <v>-4.95419224976156E-3</v>
      </c>
      <c r="J19">
        <v>2.56130124226139E-2</v>
      </c>
      <c r="K19">
        <v>1.7550352414925599E-2</v>
      </c>
      <c r="L19">
        <v>1.4639613671803799E-2</v>
      </c>
      <c r="M19" s="2"/>
      <c r="N19" s="2"/>
      <c r="O19" s="2"/>
      <c r="P19" s="2"/>
      <c r="Q19" s="2"/>
    </row>
    <row r="20" spans="1:17" x14ac:dyDescent="0.2">
      <c r="A20">
        <v>-1.90801083997271E-3</v>
      </c>
      <c r="B20">
        <v>-7.2563033469137299E-3</v>
      </c>
      <c r="C20">
        <v>8.21238439983407E-3</v>
      </c>
      <c r="D20">
        <v>-1.0755957771023001E-2</v>
      </c>
      <c r="E20">
        <v>-1.38797292107843E-2</v>
      </c>
      <c r="F20">
        <v>-1.7148046724822799E-2</v>
      </c>
      <c r="G20">
        <v>4.21427920182271E-3</v>
      </c>
      <c r="H20">
        <v>1.6916318119165798E-2</v>
      </c>
      <c r="I20">
        <v>5.9376445988528204E-3</v>
      </c>
      <c r="J20">
        <v>-1.3735251628537099E-3</v>
      </c>
      <c r="K20">
        <v>5.1117039501580297E-4</v>
      </c>
      <c r="L20">
        <v>4.2545756196012896E-3</v>
      </c>
      <c r="M20" s="2"/>
      <c r="N20" s="2"/>
      <c r="O20" s="2"/>
      <c r="P20" s="2"/>
      <c r="Q20" s="2"/>
    </row>
    <row r="21" spans="1:17" x14ac:dyDescent="0.2">
      <c r="A21">
        <v>-1.39169426683638E-2</v>
      </c>
      <c r="B21">
        <v>-1.20264081472001E-2</v>
      </c>
      <c r="C21">
        <v>-2.80216899628511E-2</v>
      </c>
      <c r="D21">
        <v>-1.6842662934806098E-2</v>
      </c>
      <c r="E21">
        <v>-1.8871817989602101E-2</v>
      </c>
      <c r="F21">
        <v>-7.2035406833137403E-3</v>
      </c>
      <c r="G21">
        <v>-1.9660120438145402E-2</v>
      </c>
      <c r="H21">
        <v>-2.9472514185831598E-2</v>
      </c>
      <c r="I21">
        <v>-3.5586775701527101E-2</v>
      </c>
      <c r="J21">
        <v>-2.13436385712855E-2</v>
      </c>
      <c r="K21">
        <v>-3.0867370931866301E-2</v>
      </c>
      <c r="L21">
        <v>-7.9202310109920404E-3</v>
      </c>
      <c r="M21" s="2"/>
      <c r="N21" s="2"/>
      <c r="O21" s="2"/>
      <c r="P21" s="2"/>
      <c r="Q21" s="2"/>
    </row>
    <row r="22" spans="1:17" x14ac:dyDescent="0.2">
      <c r="A22">
        <v>-3.72667668727189E-3</v>
      </c>
      <c r="B22">
        <v>-2.7262153367558099E-2</v>
      </c>
      <c r="C22">
        <v>-1.1967934682967699E-2</v>
      </c>
      <c r="D22">
        <v>2.98045264502588E-2</v>
      </c>
      <c r="E22">
        <v>-4.9169610626087403E-3</v>
      </c>
      <c r="F22">
        <v>2.05593500436132E-2</v>
      </c>
      <c r="G22">
        <v>3.64467237659749E-3</v>
      </c>
      <c r="H22">
        <v>1.5071415475044401E-2</v>
      </c>
      <c r="I22">
        <v>7.6453926113693102E-3</v>
      </c>
      <c r="J22">
        <v>1.18562902135321E-2</v>
      </c>
      <c r="K22">
        <v>1.7939461652865401E-2</v>
      </c>
      <c r="L22">
        <v>1.17750868362165E-3</v>
      </c>
      <c r="M22" s="2"/>
      <c r="N22" s="2"/>
      <c r="O22" s="2"/>
      <c r="P22" s="2"/>
      <c r="Q22" s="2"/>
    </row>
    <row r="23" spans="1:17" x14ac:dyDescent="0.2">
      <c r="A23">
        <v>1.68979797883421E-2</v>
      </c>
      <c r="B23">
        <v>2.70532538858958E-2</v>
      </c>
      <c r="C23">
        <v>6.1148132670991702E-3</v>
      </c>
      <c r="D23">
        <v>8.6660875806421293E-3</v>
      </c>
      <c r="E23">
        <v>8.6789738522865499E-3</v>
      </c>
      <c r="F23">
        <v>1.1565652978798999E-2</v>
      </c>
      <c r="G23">
        <v>2.1001925647634999E-2</v>
      </c>
      <c r="H23">
        <v>8.6348414807311206E-3</v>
      </c>
      <c r="I23">
        <v>6.27033693693146E-3</v>
      </c>
      <c r="J23">
        <v>-9.1825573182990796E-4</v>
      </c>
      <c r="K23">
        <v>5.5877417244287698E-3</v>
      </c>
      <c r="L23">
        <v>-8.6764592567423096E-4</v>
      </c>
      <c r="M23" s="2"/>
      <c r="N23" s="2"/>
      <c r="O23" s="2"/>
      <c r="P23" s="2"/>
      <c r="Q23" s="2"/>
    </row>
    <row r="24" spans="1:17" x14ac:dyDescent="0.2">
      <c r="A24">
        <v>2.1579487093350499E-2</v>
      </c>
      <c r="B24">
        <v>2.7703443649361701E-2</v>
      </c>
      <c r="C24">
        <v>3.06205178723493E-2</v>
      </c>
      <c r="D24">
        <v>2.4061602565067699E-2</v>
      </c>
      <c r="E24">
        <v>1.40876097424271E-2</v>
      </c>
      <c r="F24">
        <v>6.1908910306058803E-3</v>
      </c>
      <c r="G24">
        <v>1.78975241109347E-2</v>
      </c>
      <c r="H24">
        <v>3.9017697822997001E-2</v>
      </c>
      <c r="I24">
        <v>1.9514661483300999E-2</v>
      </c>
      <c r="J24">
        <v>2.3547612169333602E-2</v>
      </c>
      <c r="K24">
        <v>2.4295451136821598E-2</v>
      </c>
      <c r="L24">
        <v>3.16504244348427E-2</v>
      </c>
      <c r="M24" s="2"/>
      <c r="N24" s="2"/>
      <c r="O24" s="2"/>
      <c r="P24" s="2"/>
      <c r="Q24" s="2"/>
    </row>
    <row r="25" spans="1:17" x14ac:dyDescent="0.2">
      <c r="A25">
        <v>-8.0027926886341305E-3</v>
      </c>
      <c r="B25">
        <v>1.7905732479484E-3</v>
      </c>
      <c r="C25">
        <v>1.44765412049387E-2</v>
      </c>
      <c r="D25">
        <v>-4.5755236121642799E-3</v>
      </c>
      <c r="E25">
        <v>1.6599948649936601E-2</v>
      </c>
      <c r="F25">
        <v>-1.45597222562541E-2</v>
      </c>
      <c r="G25">
        <v>4.4611928220605803E-3</v>
      </c>
      <c r="H25">
        <v>8.7988045083182698E-3</v>
      </c>
      <c r="I25">
        <v>1.91855510313674E-2</v>
      </c>
      <c r="J25">
        <v>-1.41154295260541E-2</v>
      </c>
      <c r="K25">
        <v>-1.0303025797508501E-2</v>
      </c>
      <c r="L25">
        <v>-1.2074513213253301E-2</v>
      </c>
      <c r="M25" s="2"/>
      <c r="N25" s="2"/>
      <c r="O25" s="2"/>
      <c r="P25" s="2"/>
      <c r="Q25" s="2"/>
    </row>
    <row r="26" spans="1:17" x14ac:dyDescent="0.2">
      <c r="A26">
        <v>-1.9885209932288799E-2</v>
      </c>
      <c r="B26">
        <v>-1.64640853896438E-2</v>
      </c>
      <c r="C26">
        <v>-1.18468899777406E-2</v>
      </c>
      <c r="D26">
        <v>1.0087350436362901E-3</v>
      </c>
      <c r="E26">
        <v>-3.2943136508638499E-3</v>
      </c>
      <c r="F26">
        <v>-1.7984317533032E-2</v>
      </c>
      <c r="G26">
        <v>-4.5961573961657001E-3</v>
      </c>
      <c r="H26">
        <v>3.0815798371559501E-3</v>
      </c>
      <c r="I26">
        <v>1.68839685098785E-2</v>
      </c>
      <c r="J26">
        <v>-2.19976720470516E-3</v>
      </c>
      <c r="K26">
        <v>-4.7615723064762198E-3</v>
      </c>
      <c r="L26">
        <v>6.0207367694662299E-3</v>
      </c>
      <c r="M26" s="2"/>
      <c r="N26" s="2"/>
      <c r="O26" s="2"/>
      <c r="P26" s="2"/>
      <c r="Q26" s="2"/>
    </row>
    <row r="27" spans="1:17" x14ac:dyDescent="0.2">
      <c r="A27">
        <v>1.07229591465189E-2</v>
      </c>
      <c r="B27">
        <v>-1.3423439166269E-3</v>
      </c>
      <c r="C27">
        <v>1.55786607272849E-2</v>
      </c>
      <c r="D27">
        <v>-2.1343121554327299E-2</v>
      </c>
      <c r="E27">
        <v>-6.1299659772551199E-3</v>
      </c>
      <c r="F27">
        <v>-9.2124302664586804E-3</v>
      </c>
      <c r="G27">
        <v>-8.4396454870514503E-3</v>
      </c>
      <c r="H27">
        <v>3.8975748300584799E-3</v>
      </c>
      <c r="I27">
        <v>-5.7632124770998702E-3</v>
      </c>
      <c r="J27">
        <v>-8.8612251119677393E-3</v>
      </c>
      <c r="K27">
        <v>-2.6995554766153299E-2</v>
      </c>
      <c r="L27">
        <v>-2.7916450672946298E-2</v>
      </c>
      <c r="M27" s="2"/>
      <c r="N27" s="2"/>
      <c r="O27" s="2"/>
      <c r="P27" s="2"/>
      <c r="Q27" s="2"/>
    </row>
    <row r="28" spans="1:17" x14ac:dyDescent="0.2">
      <c r="A28">
        <v>2.1259797458750198E-3</v>
      </c>
      <c r="B28">
        <v>1.6056807929755799E-2</v>
      </c>
      <c r="C28">
        <v>-4.3838663326818397E-3</v>
      </c>
      <c r="D28">
        <v>2.6174941746658499E-2</v>
      </c>
      <c r="E28">
        <v>1.9695743149976599E-2</v>
      </c>
      <c r="F28">
        <v>2.7835300331441899E-2</v>
      </c>
      <c r="G28">
        <v>1.96393426302412E-2</v>
      </c>
      <c r="H28">
        <v>2.7390674254727999E-2</v>
      </c>
      <c r="I28">
        <v>2.7845421187246901E-2</v>
      </c>
      <c r="J28">
        <v>1.8955412246425399E-2</v>
      </c>
      <c r="K28">
        <v>2.4046868876370999E-2</v>
      </c>
      <c r="L28">
        <v>4.5294349709932196E-3</v>
      </c>
      <c r="M28" s="2"/>
      <c r="N28" s="2"/>
      <c r="O28" s="2"/>
      <c r="P28" s="2"/>
      <c r="Q28" s="2"/>
    </row>
    <row r="29" spans="1:17" x14ac:dyDescent="0.2">
      <c r="A29">
        <v>-1.3704678413339401E-2</v>
      </c>
      <c r="B29">
        <v>-2.0624608843986501E-3</v>
      </c>
      <c r="C29">
        <v>4.54107915733192E-3</v>
      </c>
      <c r="D29">
        <v>-4.8944840156392999E-3</v>
      </c>
      <c r="E29">
        <v>5.68948847317773E-3</v>
      </c>
      <c r="F29">
        <v>-2.14835921464482E-2</v>
      </c>
      <c r="G29">
        <v>1.46916459567751E-2</v>
      </c>
      <c r="H29">
        <v>1.94932111514791E-2</v>
      </c>
      <c r="I29">
        <v>3.5526359733232399E-2</v>
      </c>
      <c r="J29">
        <v>2.4174731976402498E-2</v>
      </c>
      <c r="K29">
        <v>2.5126759422356301E-2</v>
      </c>
      <c r="L29">
        <v>3.8984316802849799E-2</v>
      </c>
      <c r="M29" s="2"/>
      <c r="N29" s="2"/>
      <c r="O29" s="2"/>
      <c r="P29" s="2"/>
      <c r="Q29" s="2"/>
    </row>
    <row r="30" spans="1:17" x14ac:dyDescent="0.2">
      <c r="A30">
        <v>2.7077424341062001E-2</v>
      </c>
      <c r="B30">
        <v>2.24198709611549E-2</v>
      </c>
      <c r="C30">
        <v>3.1098975797131102E-2</v>
      </c>
      <c r="D30">
        <v>3.5875883531513601E-2</v>
      </c>
      <c r="E30">
        <v>2.3146639913519101E-2</v>
      </c>
      <c r="F30">
        <v>2.1702235350310201E-2</v>
      </c>
      <c r="G30">
        <v>-4.89862045069955E-3</v>
      </c>
      <c r="H30">
        <v>-4.16301841628552E-4</v>
      </c>
      <c r="I30">
        <v>3.8770543981207998E-3</v>
      </c>
      <c r="J30">
        <v>-3.6477457128194501E-3</v>
      </c>
      <c r="K30">
        <v>-4.0528235132946096E-3</v>
      </c>
      <c r="L30">
        <v>-7.5750069343882799E-3</v>
      </c>
      <c r="M30" s="2"/>
      <c r="N30" s="2"/>
      <c r="O30" s="2"/>
      <c r="P30" s="2"/>
      <c r="Q30" s="2"/>
    </row>
    <row r="31" spans="1:17" x14ac:dyDescent="0.2">
      <c r="A31">
        <v>9.9744359855868901E-3</v>
      </c>
      <c r="B31">
        <v>-1.3671507951933301E-2</v>
      </c>
      <c r="C31">
        <v>-3.4200031101879497E-2</v>
      </c>
      <c r="D31">
        <v>-2.0445824808322501E-2</v>
      </c>
      <c r="E31">
        <v>-1.5597324188655099E-2</v>
      </c>
      <c r="F31">
        <v>-2.3260335348767001E-2</v>
      </c>
      <c r="G31">
        <v>-1.87427677318012E-2</v>
      </c>
      <c r="H31">
        <v>-1.7978933201837799E-2</v>
      </c>
      <c r="I31">
        <v>-1.3442945511497001E-2</v>
      </c>
      <c r="J31">
        <v>-2.7783246889030399E-2</v>
      </c>
      <c r="K31">
        <v>-1.51281475778519E-2</v>
      </c>
      <c r="L31">
        <v>-3.08830816396552E-2</v>
      </c>
      <c r="M31" s="2"/>
      <c r="N31" s="2"/>
      <c r="O31" s="2"/>
      <c r="P31" s="2"/>
      <c r="Q31" s="2"/>
    </row>
    <row r="32" spans="1:17" x14ac:dyDescent="0.2">
      <c r="A32">
        <v>-1.18359779191239E-2</v>
      </c>
      <c r="B32">
        <v>-3.7416084065924299E-3</v>
      </c>
      <c r="C32">
        <v>-8.3565724529108803E-3</v>
      </c>
      <c r="D32">
        <v>6.2521696208008796E-3</v>
      </c>
      <c r="E32">
        <v>-5.8574988652901798E-3</v>
      </c>
      <c r="F32">
        <v>2.1149894625693802E-3</v>
      </c>
      <c r="G32">
        <v>1.2911574350450599E-2</v>
      </c>
      <c r="H32">
        <v>2.5322526569279798E-2</v>
      </c>
      <c r="I32">
        <v>2.1211842962326699E-2</v>
      </c>
      <c r="J32">
        <v>2.7077861779645202E-4</v>
      </c>
      <c r="K32">
        <v>2.86873205735487E-2</v>
      </c>
      <c r="L32">
        <v>-6.4016295581730198E-3</v>
      </c>
      <c r="M32" s="2"/>
      <c r="N32" s="2"/>
      <c r="O32" s="2"/>
      <c r="P32" s="2"/>
      <c r="Q32" s="2"/>
    </row>
    <row r="33" spans="1:17" x14ac:dyDescent="0.2">
      <c r="A33">
        <v>5.6497018640788701E-3</v>
      </c>
      <c r="B33">
        <v>3.94774184715895E-3</v>
      </c>
      <c r="C33">
        <v>7.8493374993477902E-3</v>
      </c>
      <c r="D33">
        <v>7.8020542881942403E-3</v>
      </c>
      <c r="E33">
        <v>-3.8008983208861402E-3</v>
      </c>
      <c r="F33">
        <v>-7.5616825402393603E-3</v>
      </c>
      <c r="G33">
        <v>-7.6607403818140796E-4</v>
      </c>
      <c r="H33">
        <v>-1.55517611394007E-3</v>
      </c>
      <c r="I33">
        <v>4.3821284099827499E-3</v>
      </c>
      <c r="J33">
        <v>1.3897204547284E-3</v>
      </c>
      <c r="K33">
        <v>-1.24023073279104E-2</v>
      </c>
      <c r="L33">
        <v>3.4132583510819701E-3</v>
      </c>
      <c r="M33" s="2"/>
      <c r="N33" s="2"/>
      <c r="O33" s="2"/>
      <c r="P33" s="2"/>
      <c r="Q33" s="2"/>
    </row>
    <row r="34" spans="1:17" x14ac:dyDescent="0.2">
      <c r="A34">
        <v>-1.3850207427043199E-2</v>
      </c>
      <c r="B34">
        <v>8.2495332237755292E-3</v>
      </c>
      <c r="C34">
        <v>3.2353949931229701E-3</v>
      </c>
      <c r="D34">
        <v>1.90005587720265E-3</v>
      </c>
      <c r="E34">
        <v>3.0674975784039599E-3</v>
      </c>
      <c r="F34">
        <v>1.6029745092089199E-2</v>
      </c>
      <c r="G34">
        <v>7.38530863725817E-3</v>
      </c>
      <c r="H34">
        <v>1.1030863379417599E-3</v>
      </c>
      <c r="I34">
        <v>5.7309533443943199E-3</v>
      </c>
      <c r="J34">
        <v>1.7120483166724799E-2</v>
      </c>
      <c r="K34">
        <v>1.4905831816360401E-2</v>
      </c>
      <c r="L34">
        <v>1.9832979262710899E-2</v>
      </c>
      <c r="M34" s="2"/>
      <c r="N34" s="2"/>
      <c r="O34" s="2"/>
      <c r="P34" s="2"/>
      <c r="Q34" s="2"/>
    </row>
    <row r="35" spans="1:17" x14ac:dyDescent="0.2">
      <c r="A35">
        <v>-2.6037760883685901E-3</v>
      </c>
      <c r="B35">
        <v>-1.1641094986964899E-3</v>
      </c>
      <c r="C35">
        <v>-7.2786860632323403E-4</v>
      </c>
      <c r="D35">
        <v>-6.04745897192349E-3</v>
      </c>
      <c r="E35">
        <v>7.1691258886974398E-4</v>
      </c>
      <c r="F35">
        <v>8.5959947808473807E-3</v>
      </c>
      <c r="G35">
        <v>1.12075361445345E-2</v>
      </c>
      <c r="H35">
        <v>1.1200528538554499E-2</v>
      </c>
      <c r="I35">
        <v>9.7487431761427105E-3</v>
      </c>
      <c r="J35">
        <v>1.6836453117077201E-3</v>
      </c>
      <c r="K35">
        <v>8.5221081517363705E-3</v>
      </c>
      <c r="L35">
        <v>9.5895831047405605E-3</v>
      </c>
      <c r="M35" s="2"/>
      <c r="N35" s="2"/>
      <c r="O35" s="2"/>
      <c r="P35" s="2"/>
      <c r="Q35" s="2"/>
    </row>
    <row r="36" spans="1:17" x14ac:dyDescent="0.2">
      <c r="A36">
        <v>-1.5705636606315E-2</v>
      </c>
      <c r="B36">
        <v>-1.6424775195753801E-2</v>
      </c>
      <c r="C36">
        <v>-1.0676063648172401E-2</v>
      </c>
      <c r="D36">
        <v>-8.8555746448399902E-3</v>
      </c>
      <c r="E36">
        <v>-8.66100063421648E-3</v>
      </c>
      <c r="F36">
        <v>-5.1716725634092199E-3</v>
      </c>
      <c r="G36">
        <v>-1.3859545238858699E-2</v>
      </c>
      <c r="H36">
        <v>-5.76104913069031E-3</v>
      </c>
      <c r="I36">
        <v>-2.7465900213378101E-2</v>
      </c>
      <c r="J36">
        <v>7.2140422834470197E-3</v>
      </c>
      <c r="K36">
        <v>-6.3714703131996196E-3</v>
      </c>
      <c r="L36">
        <v>-1.78606462754093E-3</v>
      </c>
      <c r="M36" s="2"/>
      <c r="N36" s="2"/>
      <c r="O36" s="2"/>
      <c r="P36" s="2"/>
      <c r="Q36" s="2"/>
    </row>
    <row r="37" spans="1:17" x14ac:dyDescent="0.2">
      <c r="A37">
        <v>8.4726988171732708E-3</v>
      </c>
      <c r="B37">
        <v>1.4257842625266999E-2</v>
      </c>
      <c r="C37">
        <v>1.17503478699703E-2</v>
      </c>
      <c r="D37">
        <v>1.5832069426385102E-2</v>
      </c>
      <c r="E37">
        <v>2.95683749071784E-3</v>
      </c>
      <c r="F37">
        <v>1.08397053632671E-2</v>
      </c>
      <c r="G37">
        <v>2.2058019619788798E-2</v>
      </c>
      <c r="H37">
        <v>1.8651616787597101E-2</v>
      </c>
      <c r="I37">
        <v>1.66012315663799E-3</v>
      </c>
      <c r="J37">
        <v>2.5250712536571698E-2</v>
      </c>
      <c r="K37">
        <v>1.73568048884256E-2</v>
      </c>
      <c r="L37">
        <v>2.80666637437825E-2</v>
      </c>
      <c r="M37" s="2"/>
      <c r="N37" s="2"/>
      <c r="O37" s="2"/>
      <c r="P37" s="2"/>
      <c r="Q37" s="2"/>
    </row>
    <row r="38" spans="1:17" x14ac:dyDescent="0.2">
      <c r="A38">
        <v>-9.6908671067410506E-3</v>
      </c>
      <c r="B38">
        <v>-8.9025386599059699E-3</v>
      </c>
      <c r="C38">
        <v>-1.0724393329037501E-2</v>
      </c>
      <c r="D38">
        <v>1.1617519040336199E-2</v>
      </c>
      <c r="E38">
        <v>-1.03539913382162E-2</v>
      </c>
      <c r="F38">
        <v>1.4659970730648701E-2</v>
      </c>
      <c r="G38">
        <v>-1.0865109338797399E-2</v>
      </c>
      <c r="H38">
        <v>2.5031690560552902E-3</v>
      </c>
      <c r="I38">
        <v>2.3834133400128998E-3</v>
      </c>
      <c r="J38">
        <v>-1.34046916560626E-2</v>
      </c>
      <c r="K38">
        <v>-5.31282294794888E-3</v>
      </c>
      <c r="L38">
        <v>-1.9016106041685299E-2</v>
      </c>
      <c r="M38" s="2"/>
      <c r="N38" s="2"/>
      <c r="O38" s="2"/>
      <c r="P38" s="2"/>
      <c r="Q38" s="2"/>
    </row>
    <row r="39" spans="1:17" x14ac:dyDescent="0.2">
      <c r="A39">
        <v>-1.4458361408856899E-2</v>
      </c>
      <c r="B39">
        <v>2.1991491598996001E-3</v>
      </c>
      <c r="C39">
        <v>-7.2574567402945399E-3</v>
      </c>
      <c r="D39">
        <v>5.42501322758592E-3</v>
      </c>
      <c r="E39">
        <v>2.61726867117584E-3</v>
      </c>
      <c r="F39">
        <v>4.6295919252443696E-3</v>
      </c>
      <c r="G39">
        <v>1.24614208279885E-2</v>
      </c>
      <c r="H39">
        <v>2.4721966669645198E-2</v>
      </c>
      <c r="I39">
        <v>-1.04702515900294E-2</v>
      </c>
      <c r="J39">
        <v>1.84908144906295E-2</v>
      </c>
      <c r="K39">
        <v>1.3579688347777801E-2</v>
      </c>
      <c r="L39">
        <v>1.6076538126990898E-2</v>
      </c>
      <c r="M39" s="2"/>
      <c r="N39" s="2"/>
      <c r="O39" s="2"/>
      <c r="P39" s="2"/>
      <c r="Q39" s="2"/>
    </row>
    <row r="40" spans="1:17" x14ac:dyDescent="0.2">
      <c r="A40">
        <v>2.8769292617020801E-2</v>
      </c>
      <c r="B40">
        <v>1.48204006870571E-2</v>
      </c>
      <c r="C40">
        <v>2.16771614744866E-2</v>
      </c>
      <c r="D40">
        <v>2.97498468362071E-2</v>
      </c>
      <c r="E40">
        <v>8.5832285177609401E-3</v>
      </c>
      <c r="F40">
        <v>2.49162454879687E-2</v>
      </c>
      <c r="G40">
        <v>2.5525246325315699E-2</v>
      </c>
      <c r="H40">
        <v>1.7734011761778998E-2</v>
      </c>
      <c r="I40">
        <v>2.5442300613613002E-2</v>
      </c>
      <c r="J40">
        <v>5.7250017100613998E-3</v>
      </c>
      <c r="K40">
        <v>1.10296184487141E-2</v>
      </c>
      <c r="L40">
        <v>1.78312206994224E-3</v>
      </c>
      <c r="M40" s="2"/>
      <c r="N40" s="2"/>
      <c r="O40" s="2"/>
      <c r="P40" s="2"/>
      <c r="Q40" s="2"/>
    </row>
    <row r="41" spans="1:17" x14ac:dyDescent="0.2">
      <c r="A41">
        <v>6.9449594887060996E-4</v>
      </c>
      <c r="B41">
        <v>7.6110326561762403E-3</v>
      </c>
      <c r="C41">
        <v>-1.9076503177002299E-3</v>
      </c>
      <c r="D41">
        <v>4.6634834563192796E-3</v>
      </c>
      <c r="E41">
        <v>-1.5070762500632899E-3</v>
      </c>
      <c r="F41">
        <v>-1.76634076847292E-3</v>
      </c>
      <c r="G41">
        <v>2.4715183834693701E-2</v>
      </c>
      <c r="H41">
        <v>1.26882649772221E-2</v>
      </c>
      <c r="I41">
        <v>-1.7006374362096201E-2</v>
      </c>
      <c r="J41">
        <v>1.38334942953211E-3</v>
      </c>
      <c r="K41">
        <v>-1.4352130456710899E-2</v>
      </c>
      <c r="L41">
        <v>-1.6324011103066E-2</v>
      </c>
      <c r="M41" s="2"/>
      <c r="N41" s="2"/>
      <c r="O41" s="2"/>
      <c r="P41" s="2"/>
      <c r="Q41" s="2"/>
    </row>
    <row r="42" spans="1:17" x14ac:dyDescent="0.2">
      <c r="A42">
        <v>1.42006178222899E-2</v>
      </c>
      <c r="B42">
        <v>-1.5374370712821701E-3</v>
      </c>
      <c r="C42">
        <v>2.3537097297960901E-3</v>
      </c>
      <c r="D42">
        <v>1.04850692637636E-3</v>
      </c>
      <c r="E42">
        <v>-4.0023989236566103E-3</v>
      </c>
      <c r="F42">
        <v>-5.5293115513848001E-3</v>
      </c>
      <c r="G42">
        <v>-8.5414127329075298E-3</v>
      </c>
      <c r="H42">
        <v>-1.8961404087690401E-2</v>
      </c>
      <c r="I42">
        <v>2.6708830197563298E-2</v>
      </c>
      <c r="J42">
        <v>3.10599487831009E-3</v>
      </c>
      <c r="K42">
        <v>1.0287538476037901E-2</v>
      </c>
      <c r="L42">
        <v>-6.5742134372355201E-3</v>
      </c>
      <c r="M42" s="2"/>
      <c r="N42" s="2"/>
      <c r="O42" s="2"/>
      <c r="P42" s="2"/>
      <c r="Q42" s="2"/>
    </row>
    <row r="43" spans="1:17" x14ac:dyDescent="0.2">
      <c r="A43">
        <v>-3.0745294784237901E-3</v>
      </c>
      <c r="B43">
        <v>1.4772909450243701E-2</v>
      </c>
      <c r="C43">
        <v>-2.0298983448834001E-2</v>
      </c>
      <c r="D43">
        <v>3.2175478524242698E-2</v>
      </c>
      <c r="E43">
        <v>2.7915308698192198E-2</v>
      </c>
      <c r="F43">
        <v>1.15781630073161E-2</v>
      </c>
      <c r="G43">
        <v>8.3273334494566795E-3</v>
      </c>
      <c r="H43">
        <v>5.3989930233750904E-3</v>
      </c>
      <c r="I43">
        <v>1.82187185217648E-2</v>
      </c>
      <c r="J43">
        <v>1.26418418258988E-2</v>
      </c>
      <c r="K43">
        <v>8.8367832802471701E-3</v>
      </c>
      <c r="L43">
        <v>-6.4223790593740298E-3</v>
      </c>
      <c r="M43" s="2"/>
      <c r="N43" s="2"/>
      <c r="O43" s="2"/>
      <c r="P43" s="2"/>
      <c r="Q43" s="2"/>
    </row>
    <row r="44" spans="1:17" x14ac:dyDescent="0.2">
      <c r="A44">
        <v>-7.6914971502706198E-4</v>
      </c>
      <c r="B44">
        <v>-2.8592791964143701E-4</v>
      </c>
      <c r="C44">
        <v>2.0534536586798598E-2</v>
      </c>
      <c r="D44">
        <v>1.6140297350262602E-2</v>
      </c>
      <c r="E44">
        <v>1.15036034245745E-2</v>
      </c>
      <c r="F44">
        <v>1.2926818662673799E-2</v>
      </c>
      <c r="G44">
        <v>-2.6098006951853401E-3</v>
      </c>
      <c r="H44">
        <v>-7.9340468616617699E-4</v>
      </c>
      <c r="I44">
        <v>9.7996209508366405E-4</v>
      </c>
      <c r="J44">
        <v>8.3046399840682704E-3</v>
      </c>
      <c r="K44">
        <v>4.61280631750238E-3</v>
      </c>
      <c r="L44">
        <v>-7.5916886325551004E-3</v>
      </c>
      <c r="M44" s="2"/>
      <c r="N44" s="2"/>
      <c r="O44" s="2"/>
      <c r="P44" s="2"/>
      <c r="Q44" s="2"/>
    </row>
    <row r="45" spans="1:17" x14ac:dyDescent="0.2">
      <c r="A45">
        <v>1.08686590226199E-2</v>
      </c>
      <c r="B45">
        <v>1.6068196552321699E-2</v>
      </c>
      <c r="C45">
        <v>1.2129689840804699E-2</v>
      </c>
      <c r="D45">
        <v>4.4626491937487201E-3</v>
      </c>
      <c r="E45">
        <v>5.7215476018095401E-3</v>
      </c>
      <c r="F45">
        <v>-1.52118451676415E-2</v>
      </c>
      <c r="G45">
        <v>-1.37336951400861E-2</v>
      </c>
      <c r="H45">
        <v>-5.7332000187138004E-3</v>
      </c>
      <c r="I45">
        <v>-6.2087873613290096E-3</v>
      </c>
      <c r="J45">
        <v>-2.2401419306869501E-2</v>
      </c>
      <c r="K45">
        <v>-2.4914731983312001E-3</v>
      </c>
      <c r="L45">
        <v>4.9423919613289496E-3</v>
      </c>
      <c r="M45" s="2"/>
      <c r="N45" s="2"/>
      <c r="O45" s="2"/>
      <c r="P45" s="2"/>
      <c r="Q45" s="2"/>
    </row>
    <row r="46" spans="1:17" x14ac:dyDescent="0.2">
      <c r="A46">
        <v>-8.0669763093785801E-3</v>
      </c>
      <c r="B46">
        <v>-7.9545265304465894E-3</v>
      </c>
      <c r="C46">
        <v>-1.2697795742209099E-2</v>
      </c>
      <c r="D46">
        <v>-5.46407378309865E-3</v>
      </c>
      <c r="E46">
        <v>-1.41726581435781E-2</v>
      </c>
      <c r="F46">
        <v>-1.3722433354853699E-2</v>
      </c>
      <c r="G46">
        <v>-1.87091510673544E-2</v>
      </c>
      <c r="H46">
        <v>-1.5606743247730001E-2</v>
      </c>
      <c r="I46">
        <v>-1.5885622067255401E-2</v>
      </c>
      <c r="J46">
        <v>-2.0741815366064498E-2</v>
      </c>
      <c r="K46">
        <v>-1.64520696886611E-2</v>
      </c>
      <c r="L46">
        <v>-1.15577951110834E-2</v>
      </c>
      <c r="M46" s="2"/>
      <c r="N46" s="2"/>
      <c r="O46" s="2"/>
      <c r="P46" s="2"/>
      <c r="Q46" s="2"/>
    </row>
    <row r="47" spans="1:17" x14ac:dyDescent="0.2">
      <c r="A47">
        <v>-5.5383381991278499E-3</v>
      </c>
      <c r="B47">
        <v>-6.94369401892203E-3</v>
      </c>
      <c r="C47">
        <v>1.7375719549017999E-2</v>
      </c>
      <c r="D47">
        <v>7.6130007439738599E-3</v>
      </c>
      <c r="E47">
        <v>1.7877790258236101E-4</v>
      </c>
      <c r="F47">
        <v>-2.0975068377726501E-4</v>
      </c>
      <c r="G47">
        <v>-1.79121151743162E-2</v>
      </c>
      <c r="H47">
        <v>-1.48203939846673E-2</v>
      </c>
      <c r="I47">
        <v>-3.5502020700090599E-2</v>
      </c>
      <c r="J47">
        <v>-1.4965593957374001E-2</v>
      </c>
      <c r="K47">
        <v>-2.8646666528749601E-2</v>
      </c>
      <c r="L47">
        <v>-2.1083416497450699E-2</v>
      </c>
      <c r="M47" s="2"/>
      <c r="N47" s="2"/>
      <c r="O47" s="2"/>
      <c r="P47" s="2"/>
      <c r="Q47" s="2"/>
    </row>
    <row r="48" spans="1:17" x14ac:dyDescent="0.2">
      <c r="A48">
        <v>2.6689393111647402E-3</v>
      </c>
      <c r="B48">
        <v>3.75843080020219E-2</v>
      </c>
      <c r="C48">
        <v>5.6079327337405602E-2</v>
      </c>
      <c r="D48">
        <v>1.67981617315291E-2</v>
      </c>
      <c r="E48">
        <v>2.3437286880319801E-2</v>
      </c>
      <c r="F48">
        <v>9.6280087781837002E-3</v>
      </c>
      <c r="G48">
        <v>5.7334344663972896E-3</v>
      </c>
      <c r="H48">
        <v>1.1015635334775399E-2</v>
      </c>
      <c r="I48">
        <v>1.26925754729221E-2</v>
      </c>
      <c r="J48">
        <v>1.3779998370083899E-2</v>
      </c>
      <c r="K48">
        <v>2.25920761317128E-2</v>
      </c>
      <c r="L48">
        <v>-1.7657251560752402E-2</v>
      </c>
      <c r="M48" s="2"/>
      <c r="N48" s="2"/>
      <c r="O48" s="2"/>
      <c r="P48" s="2"/>
      <c r="Q48" s="2"/>
    </row>
    <row r="49" spans="1:17" x14ac:dyDescent="0.2">
      <c r="A49">
        <v>-9.3885207752206698E-3</v>
      </c>
      <c r="B49">
        <v>-6.6487790717522002E-3</v>
      </c>
      <c r="C49">
        <v>-4.1967020105459999E-3</v>
      </c>
      <c r="D49">
        <v>-1.33821606424104E-2</v>
      </c>
      <c r="E49">
        <v>-1.56253580956002E-2</v>
      </c>
      <c r="F49">
        <v>-1.33393166123196E-2</v>
      </c>
      <c r="G49">
        <v>3.3433916488947398E-3</v>
      </c>
      <c r="H49">
        <v>-3.8669797765669102E-3</v>
      </c>
      <c r="I49">
        <v>-2.6471446686642201E-3</v>
      </c>
      <c r="J49">
        <v>2.0959770888042601E-3</v>
      </c>
      <c r="K49">
        <v>-1.09917660156702E-2</v>
      </c>
      <c r="L49">
        <v>1.7452664252646201E-3</v>
      </c>
      <c r="M49" s="2"/>
      <c r="N49" s="2"/>
      <c r="O49" s="2"/>
      <c r="P49" s="2"/>
      <c r="Q49" s="2"/>
    </row>
    <row r="50" spans="1:17" x14ac:dyDescent="0.2">
      <c r="A50">
        <v>4.62063568015369E-3</v>
      </c>
      <c r="B50">
        <v>-2.9635516813695199E-3</v>
      </c>
      <c r="C50">
        <v>2.2121116278037201E-2</v>
      </c>
      <c r="D50">
        <v>8.7771423093829792E-3</v>
      </c>
      <c r="E50">
        <v>1.8663662338764299E-2</v>
      </c>
      <c r="F50">
        <v>-2.81937529696068E-2</v>
      </c>
      <c r="G50">
        <v>7.9566655860563405E-3</v>
      </c>
      <c r="H50">
        <v>1.4245534955104E-2</v>
      </c>
      <c r="I50">
        <v>1.7402953033925899E-2</v>
      </c>
      <c r="J50">
        <v>1.07872550780419E-2</v>
      </c>
      <c r="K50">
        <v>1.84392101216912E-2</v>
      </c>
      <c r="L50">
        <v>1.4899108622362199E-2</v>
      </c>
      <c r="M50" s="2"/>
      <c r="N50" s="2"/>
      <c r="O50" s="2"/>
      <c r="P50" s="2"/>
      <c r="Q50" s="2"/>
    </row>
    <row r="51" spans="1:17" x14ac:dyDescent="0.2">
      <c r="A51">
        <v>5.6276500069607398E-3</v>
      </c>
      <c r="B51">
        <v>1.3666229415520899E-2</v>
      </c>
      <c r="C51">
        <v>2.0410043604176299E-2</v>
      </c>
      <c r="D51">
        <v>7.2389336529443595E-4</v>
      </c>
      <c r="E51">
        <v>8.8294820763614706E-3</v>
      </c>
      <c r="F51">
        <v>2.7898346089195902E-2</v>
      </c>
      <c r="G51">
        <v>-7.65577767818115E-3</v>
      </c>
      <c r="H51">
        <v>-1.3634742595796099E-3</v>
      </c>
      <c r="I51">
        <v>-2.35932552244833E-3</v>
      </c>
      <c r="J51">
        <v>5.3693888783392599E-3</v>
      </c>
      <c r="K51">
        <v>-1.68141497904183E-3</v>
      </c>
      <c r="L51">
        <v>-2.7363843954830702E-4</v>
      </c>
      <c r="M51" s="2"/>
      <c r="N51" s="2"/>
      <c r="O51" s="2"/>
      <c r="P51" s="2"/>
      <c r="Q51" s="2"/>
    </row>
    <row r="52" spans="1:17" x14ac:dyDescent="0.2">
      <c r="A52">
        <v>1.04242024359706E-2</v>
      </c>
      <c r="B52">
        <v>6.7021236469466602E-3</v>
      </c>
      <c r="C52">
        <v>5.3270676112902003E-3</v>
      </c>
      <c r="D52">
        <v>8.9125385592474498E-3</v>
      </c>
      <c r="E52">
        <v>6.9310198886078896E-3</v>
      </c>
      <c r="F52">
        <v>-7.7829811177210196E-4</v>
      </c>
      <c r="G52">
        <v>2.1036234836557801E-3</v>
      </c>
      <c r="H52">
        <v>6.6299546133663501E-4</v>
      </c>
      <c r="I52">
        <v>-4.11571821049872E-3</v>
      </c>
      <c r="J52">
        <v>4.2745683668599099E-4</v>
      </c>
      <c r="K52">
        <v>-9.3279329437745396E-4</v>
      </c>
      <c r="L52">
        <v>-4.5855922434867498E-4</v>
      </c>
      <c r="M52" s="2"/>
      <c r="N52" s="2"/>
      <c r="O52" s="2"/>
      <c r="P52" s="2"/>
      <c r="Q52" s="2"/>
    </row>
    <row r="53" spans="1:17" x14ac:dyDescent="0.2">
      <c r="A53">
        <v>-1.7786159841408601E-3</v>
      </c>
      <c r="B53">
        <v>-5.2681227666084799E-3</v>
      </c>
      <c r="C53">
        <v>-1.1610384700368501E-2</v>
      </c>
      <c r="D53">
        <v>-1.1406376554361899E-2</v>
      </c>
      <c r="E53">
        <v>-3.5789345209673502E-3</v>
      </c>
      <c r="F53">
        <v>-9.7729215802644306E-3</v>
      </c>
      <c r="G53">
        <v>-1.7950929367579201E-2</v>
      </c>
      <c r="H53">
        <v>-1.86320662169681E-3</v>
      </c>
      <c r="I53">
        <v>-1.41789831819965E-2</v>
      </c>
      <c r="J53">
        <v>-1.9137582424709001E-2</v>
      </c>
      <c r="K53">
        <v>-1.2186497800205301E-2</v>
      </c>
      <c r="L53">
        <v>-1.2573018522925999E-2</v>
      </c>
      <c r="M53" s="2"/>
      <c r="N53" s="2"/>
      <c r="O53" s="2"/>
      <c r="P53" s="2"/>
      <c r="Q53" s="2"/>
    </row>
    <row r="54" spans="1:17" x14ac:dyDescent="0.2">
      <c r="A54">
        <v>-1.80593220731761E-3</v>
      </c>
      <c r="B54">
        <v>-5.4535830566813104E-3</v>
      </c>
      <c r="C54">
        <v>6.9134765286662497E-3</v>
      </c>
      <c r="D54">
        <v>-1.83328272483116E-2</v>
      </c>
      <c r="E54">
        <v>-1.1534219210189701E-2</v>
      </c>
      <c r="F54">
        <v>-1.8696006455938201E-3</v>
      </c>
      <c r="G54">
        <v>-5.3887015076980998E-3</v>
      </c>
      <c r="H54">
        <v>-9.7267112764347595E-3</v>
      </c>
      <c r="I54">
        <v>-3.2774703446554199E-3</v>
      </c>
      <c r="J54">
        <v>-5.1575379484205498E-3</v>
      </c>
      <c r="K54">
        <v>-9.6811097865687704E-3</v>
      </c>
      <c r="L54">
        <v>-4.46145854819501E-3</v>
      </c>
      <c r="M54" s="2"/>
      <c r="N54" s="2"/>
      <c r="O54" s="2"/>
      <c r="P54" s="2"/>
      <c r="Q54" s="2"/>
    </row>
    <row r="55" spans="1:17" x14ac:dyDescent="0.2">
      <c r="A55">
        <v>-1.1157017878531399E-3</v>
      </c>
      <c r="B55">
        <v>-6.74749620229864E-3</v>
      </c>
      <c r="C55">
        <v>-5.3720776829919697E-3</v>
      </c>
      <c r="D55">
        <v>-3.0729090926726599E-3</v>
      </c>
      <c r="E55">
        <v>-3.7843952387923699E-3</v>
      </c>
      <c r="F55">
        <v>4.7272004275491497E-3</v>
      </c>
      <c r="G55">
        <v>-6.7435064287151196E-3</v>
      </c>
      <c r="H55" s="8">
        <v>-9.3875873589332998E-5</v>
      </c>
      <c r="I55">
        <v>-9.1404563550501097E-4</v>
      </c>
      <c r="J55">
        <v>-4.1719533905108996E-3</v>
      </c>
      <c r="K55">
        <v>1.9518905268611699E-4</v>
      </c>
      <c r="L55">
        <v>-1.9396732548067001E-3</v>
      </c>
      <c r="M55" s="2"/>
      <c r="N55" s="2"/>
      <c r="O55" s="2"/>
      <c r="P55" s="2"/>
      <c r="Q55" s="2"/>
    </row>
    <row r="56" spans="1:17" x14ac:dyDescent="0.2">
      <c r="A56">
        <v>3.3523497481811902E-2</v>
      </c>
      <c r="B56">
        <v>1.30429032132459E-2</v>
      </c>
      <c r="C56">
        <v>3.1243329817484299E-2</v>
      </c>
      <c r="D56">
        <v>2.29571423619567E-4</v>
      </c>
      <c r="E56">
        <v>1.3926205418933E-2</v>
      </c>
      <c r="F56">
        <v>3.3446739254392398E-3</v>
      </c>
      <c r="G56">
        <v>1.28767506589246E-2</v>
      </c>
      <c r="H56">
        <v>2.1766623668546502E-2</v>
      </c>
      <c r="I56">
        <v>3.0900940892187999E-2</v>
      </c>
      <c r="J56">
        <v>2.5600890618049299E-3</v>
      </c>
      <c r="K56">
        <v>-2.51848472773019E-3</v>
      </c>
      <c r="L56">
        <v>3.7910508150304098E-2</v>
      </c>
      <c r="M56" s="2"/>
      <c r="N56" s="2"/>
      <c r="O56" s="2"/>
      <c r="P56" s="2"/>
      <c r="Q56" s="2"/>
    </row>
    <row r="57" spans="1:17" x14ac:dyDescent="0.2">
      <c r="A57">
        <v>-2.0253007206312199E-3</v>
      </c>
      <c r="B57">
        <v>-1.2016268630148301E-3</v>
      </c>
      <c r="C57">
        <v>1.8449300562473001E-3</v>
      </c>
      <c r="D57">
        <v>-8.5483664791396997E-4</v>
      </c>
      <c r="E57">
        <v>9.25569195796782E-4</v>
      </c>
      <c r="F57">
        <v>2.4620459837905099E-3</v>
      </c>
      <c r="G57">
        <v>-5.5871226636312601E-3</v>
      </c>
      <c r="H57">
        <v>1.0871994416809101E-2</v>
      </c>
      <c r="I57">
        <v>-6.1532379203006402E-3</v>
      </c>
      <c r="J57">
        <v>-4.8492295646695898E-3</v>
      </c>
      <c r="K57">
        <v>-4.7454787072043203E-3</v>
      </c>
      <c r="L57">
        <v>-2.5896222564645299E-3</v>
      </c>
      <c r="M57" s="2"/>
      <c r="N57" s="2"/>
      <c r="O57" s="2"/>
      <c r="P57" s="2"/>
      <c r="Q57" s="2"/>
    </row>
    <row r="58" spans="1:17" x14ac:dyDescent="0.2">
      <c r="A58">
        <v>6.50839785179702E-3</v>
      </c>
      <c r="B58">
        <v>4.7083499487277003E-3</v>
      </c>
      <c r="C58">
        <v>3.5916436367058298E-3</v>
      </c>
      <c r="D58">
        <v>8.7756690379032706E-3</v>
      </c>
      <c r="E58">
        <v>1.23480201799843E-2</v>
      </c>
      <c r="F58">
        <v>-3.3713475609076201E-3</v>
      </c>
      <c r="G58">
        <v>-1.31372678564711E-3</v>
      </c>
      <c r="H58">
        <v>6.9074852061809999E-3</v>
      </c>
      <c r="I58">
        <v>-4.03077787147765E-4</v>
      </c>
      <c r="J58">
        <v>8.8691597914909402E-3</v>
      </c>
      <c r="K58">
        <v>4.0905564977640196E-3</v>
      </c>
      <c r="L58">
        <v>1.12409657158698E-2</v>
      </c>
      <c r="M58" s="2"/>
      <c r="N58" s="2"/>
      <c r="O58" s="2"/>
      <c r="P58" s="2"/>
      <c r="Q58" s="2"/>
    </row>
    <row r="59" spans="1:17" x14ac:dyDescent="0.2">
      <c r="A59">
        <v>9.1862710708383501E-3</v>
      </c>
      <c r="B59">
        <v>1.6431422219191898E-2</v>
      </c>
      <c r="C59">
        <v>1.7476464017750701E-2</v>
      </c>
      <c r="D59">
        <v>-4.7091326147929904E-3</v>
      </c>
      <c r="E59">
        <v>-7.1449193484962505E-4</v>
      </c>
      <c r="F59">
        <v>1.04860014233656E-2</v>
      </c>
      <c r="G59">
        <v>5.4093943544408704E-3</v>
      </c>
      <c r="H59">
        <v>6.0815652337682302E-3</v>
      </c>
      <c r="I59">
        <v>9.7158901456735301E-3</v>
      </c>
      <c r="J59">
        <v>3.9391228516469897E-3</v>
      </c>
      <c r="K59">
        <v>1.9678842754195999E-3</v>
      </c>
      <c r="L59">
        <v>4.1132765345288603E-3</v>
      </c>
      <c r="M59" s="2"/>
      <c r="N59" s="2"/>
      <c r="O59" s="2"/>
      <c r="P59" s="2"/>
      <c r="Q59" s="2"/>
    </row>
    <row r="60" spans="1:17" x14ac:dyDescent="0.2">
      <c r="A60">
        <v>1.6072782325435801E-3</v>
      </c>
      <c r="B60">
        <v>-7.3883678099520003E-3</v>
      </c>
      <c r="C60">
        <v>-4.36112137473632E-3</v>
      </c>
      <c r="D60">
        <v>-5.51798483758858E-4</v>
      </c>
      <c r="E60">
        <v>-4.3906739196772904E-3</v>
      </c>
      <c r="F60">
        <v>-1.4066919742070599E-3</v>
      </c>
      <c r="G60">
        <v>-6.6159450542437803E-3</v>
      </c>
      <c r="H60">
        <v>-5.8692411011520501E-3</v>
      </c>
      <c r="I60">
        <v>-7.9254554493246501E-3</v>
      </c>
      <c r="J60">
        <v>-3.9804710958080101E-3</v>
      </c>
      <c r="K60">
        <v>-4.7784045961955998E-3</v>
      </c>
      <c r="L60">
        <v>-2.74779335200481E-3</v>
      </c>
      <c r="M60" s="2"/>
      <c r="N60" s="2"/>
      <c r="O60" s="2"/>
      <c r="P60" s="2"/>
      <c r="Q60" s="2"/>
    </row>
    <row r="61" spans="1:17" x14ac:dyDescent="0.2">
      <c r="A61">
        <v>2.9088676637929402E-3</v>
      </c>
      <c r="B61">
        <v>-2.7438487892359402E-3</v>
      </c>
      <c r="C61">
        <v>8.9571812663962191E-3</v>
      </c>
      <c r="D61">
        <v>2.82742218889087E-3</v>
      </c>
      <c r="E61">
        <v>1.56447443854901E-3</v>
      </c>
      <c r="F61">
        <v>6.5487408907616198E-3</v>
      </c>
      <c r="G61">
        <v>1.2375138176992E-3</v>
      </c>
      <c r="H61">
        <v>8.2883373687438998E-3</v>
      </c>
      <c r="I61">
        <v>7.85972421597236E-3</v>
      </c>
      <c r="J61">
        <v>1.06534010145704E-2</v>
      </c>
      <c r="K61">
        <v>1.94372176630608E-3</v>
      </c>
      <c r="L61">
        <v>4.1023092874086196E-3</v>
      </c>
      <c r="M61" s="2"/>
      <c r="N61" s="2"/>
      <c r="O61" s="2"/>
      <c r="P61" s="2"/>
      <c r="Q61" s="2"/>
    </row>
    <row r="62" spans="1:17" x14ac:dyDescent="0.2">
      <c r="A62">
        <v>-1.36261436753386E-2</v>
      </c>
      <c r="B62">
        <v>-1.34150104118395E-2</v>
      </c>
      <c r="C62">
        <v>-1.1898434050351601E-2</v>
      </c>
      <c r="D62">
        <v>1.75655713143019E-3</v>
      </c>
      <c r="E62">
        <v>-1.20797371666023E-2</v>
      </c>
      <c r="F62">
        <v>-8.6237972227758402E-3</v>
      </c>
      <c r="G62">
        <v>-1.66187377738111E-2</v>
      </c>
      <c r="H62">
        <v>-1.28480991518822E-2</v>
      </c>
      <c r="I62">
        <v>-1.26505439784345E-2</v>
      </c>
      <c r="J62">
        <v>-8.4419015573402503E-3</v>
      </c>
      <c r="K62">
        <v>-7.4189950126744E-3</v>
      </c>
      <c r="L62">
        <v>-1.0075160985980601E-2</v>
      </c>
      <c r="M62" s="2"/>
      <c r="N62" s="2"/>
      <c r="O62" s="2"/>
      <c r="P62" s="2"/>
      <c r="Q62" s="2"/>
    </row>
    <row r="63" spans="1:17" x14ac:dyDescent="0.2">
      <c r="A63">
        <v>-9.11315293044445E-3</v>
      </c>
      <c r="B63">
        <v>-5.1664782761324801E-3</v>
      </c>
      <c r="C63">
        <v>2.7920320432723799E-3</v>
      </c>
      <c r="D63">
        <v>-2.4522404892414799E-2</v>
      </c>
      <c r="E63">
        <v>-1.0181923958771899E-2</v>
      </c>
      <c r="F63">
        <v>-1.43187634613042E-2</v>
      </c>
      <c r="G63">
        <v>-6.4559621576547599E-3</v>
      </c>
      <c r="H63">
        <v>-9.7085783175918598E-3</v>
      </c>
      <c r="I63">
        <v>-5.8170943763471402E-3</v>
      </c>
      <c r="J63">
        <v>-1.09463949233186E-2</v>
      </c>
      <c r="K63">
        <v>-1.01215843362414E-2</v>
      </c>
      <c r="L63">
        <v>-8.3696933128498598E-3</v>
      </c>
      <c r="M63" s="2"/>
      <c r="N63" s="2"/>
      <c r="O63" s="2"/>
      <c r="P63" s="2"/>
      <c r="Q63" s="2"/>
    </row>
    <row r="64" spans="1:17" x14ac:dyDescent="0.2">
      <c r="A64">
        <v>-5.04775420184078E-3</v>
      </c>
      <c r="B64">
        <v>-2.2496340945193202E-2</v>
      </c>
      <c r="C64">
        <v>-3.8093641482493702E-2</v>
      </c>
      <c r="D64">
        <v>-2.3212152214861101E-2</v>
      </c>
      <c r="E64">
        <v>-2.4976571413234599E-2</v>
      </c>
      <c r="F64">
        <v>-3.4335830980375598E-2</v>
      </c>
      <c r="G64">
        <v>-3.3974738872866603E-2</v>
      </c>
      <c r="H64">
        <v>-3.6740619824102198E-2</v>
      </c>
      <c r="I64">
        <v>-2.0370992534143501E-2</v>
      </c>
      <c r="J64">
        <v>-1.0073588119599399E-2</v>
      </c>
      <c r="K64">
        <v>-3.42099200898777E-2</v>
      </c>
      <c r="L64">
        <v>-3.2355827344748997E-2</v>
      </c>
      <c r="M64" s="2"/>
      <c r="N64" s="2"/>
      <c r="O64" s="2"/>
      <c r="P64" s="2"/>
      <c r="Q64" s="2"/>
    </row>
    <row r="65" spans="1:17" x14ac:dyDescent="0.2">
      <c r="A65">
        <v>-1.1443148704772799E-3</v>
      </c>
      <c r="B65">
        <v>-5.40728663582967E-3</v>
      </c>
      <c r="C65">
        <v>-3.8527656844777799E-4</v>
      </c>
      <c r="D65">
        <v>1.13295756040301E-2</v>
      </c>
      <c r="E65">
        <v>5.2443320829160802E-3</v>
      </c>
      <c r="F65" s="8">
        <v>4.5184763751926401E-5</v>
      </c>
      <c r="G65">
        <v>-1.03040463707699E-2</v>
      </c>
      <c r="H65">
        <v>-3.44610337676076E-3</v>
      </c>
      <c r="I65">
        <v>-3.4464604277992801E-3</v>
      </c>
      <c r="J65">
        <v>-2.6022712648554602E-4</v>
      </c>
      <c r="K65">
        <v>6.6143759593622004E-3</v>
      </c>
      <c r="L65">
        <v>-5.3788079782623999E-4</v>
      </c>
      <c r="M65" s="2"/>
      <c r="N65" s="2"/>
      <c r="O65" s="2"/>
      <c r="P65" s="2"/>
      <c r="Q65" s="2"/>
    </row>
    <row r="66" spans="1:17" x14ac:dyDescent="0.2">
      <c r="A66">
        <v>5.90105639091742E-3</v>
      </c>
      <c r="B66">
        <v>4.7539657043769099E-3</v>
      </c>
      <c r="C66">
        <v>1.4705574687035E-3</v>
      </c>
      <c r="D66">
        <v>9.0226988181196701E-4</v>
      </c>
      <c r="E66">
        <v>3.46687074324592E-3</v>
      </c>
      <c r="F66">
        <v>8.8768016459175297E-3</v>
      </c>
      <c r="G66">
        <v>1.18126057664786E-2</v>
      </c>
      <c r="H66">
        <v>1.17789669847248E-2</v>
      </c>
      <c r="I66">
        <v>1.76499570869523E-2</v>
      </c>
      <c r="J66">
        <v>8.6018074961051703E-3</v>
      </c>
      <c r="K66">
        <v>1.1271146044012199E-2</v>
      </c>
      <c r="L66">
        <v>1.0933215018707299E-2</v>
      </c>
      <c r="M66" s="2"/>
      <c r="N66" s="2"/>
      <c r="O66" s="2"/>
      <c r="P66" s="2"/>
      <c r="Q66" s="2"/>
    </row>
    <row r="67" spans="1:17" x14ac:dyDescent="0.2">
      <c r="A67">
        <v>-7.1631390166606501E-3</v>
      </c>
      <c r="B67">
        <v>-1.2512925193213601E-2</v>
      </c>
      <c r="C67">
        <v>-8.7634842230332999E-4</v>
      </c>
      <c r="D67">
        <v>-7.9884466039414903E-3</v>
      </c>
      <c r="E67">
        <v>-8.7076214471481991E-3</v>
      </c>
      <c r="F67">
        <v>-9.8223876131742199E-3</v>
      </c>
      <c r="G67">
        <v>-1.45950200362898E-2</v>
      </c>
      <c r="H67">
        <v>-1.9274971475972701E-2</v>
      </c>
      <c r="I67">
        <v>-1.9532604718076298E-2</v>
      </c>
      <c r="J67">
        <v>-1.2495946419655001E-2</v>
      </c>
      <c r="K67">
        <v>-4.9894487674935198E-3</v>
      </c>
      <c r="L67">
        <v>-4.3474715285469704E-3</v>
      </c>
      <c r="M67" s="2"/>
      <c r="N67" s="2"/>
      <c r="O67" s="2"/>
      <c r="P67" s="2"/>
      <c r="Q67" s="2"/>
    </row>
    <row r="68" spans="1:17" x14ac:dyDescent="0.2">
      <c r="A68">
        <v>2.8588392941895E-2</v>
      </c>
      <c r="B68">
        <v>-7.2139023449331301E-3</v>
      </c>
      <c r="C68">
        <v>2.4409996312766798E-2</v>
      </c>
      <c r="D68">
        <v>-1.35254830995057E-2</v>
      </c>
      <c r="E68">
        <v>2.0131901968881899E-2</v>
      </c>
      <c r="F68">
        <v>6.3955140344535899E-3</v>
      </c>
      <c r="G68">
        <v>1.5639281757280799E-2</v>
      </c>
      <c r="H68">
        <v>9.0772134962309094E-3</v>
      </c>
      <c r="I68">
        <v>9.1989278694946108E-3</v>
      </c>
      <c r="J68">
        <v>1.12662167194672E-2</v>
      </c>
      <c r="K68">
        <v>2.1629337872259801E-2</v>
      </c>
      <c r="L68">
        <v>6.6766275794920499E-3</v>
      </c>
      <c r="M68" s="2"/>
      <c r="N68" s="2"/>
      <c r="O68" s="2"/>
      <c r="P68" s="2"/>
      <c r="Q68" s="2"/>
    </row>
    <row r="69" spans="1:17" x14ac:dyDescent="0.2">
      <c r="A69">
        <v>-4.5711683801448102E-3</v>
      </c>
      <c r="B69">
        <v>9.3532773138793601E-4</v>
      </c>
      <c r="C69">
        <v>-5.9960976501471897E-4</v>
      </c>
      <c r="D69">
        <v>1.8910102735937899E-2</v>
      </c>
      <c r="E69">
        <v>5.5937939272014897E-3</v>
      </c>
      <c r="F69">
        <v>6.8842979482797101E-3</v>
      </c>
      <c r="G69">
        <v>-6.45036416733812E-3</v>
      </c>
      <c r="H69">
        <v>-1.4702168039004701E-4</v>
      </c>
      <c r="I69">
        <v>-1.68656876011219E-3</v>
      </c>
      <c r="J69">
        <v>-1.0310442158565299E-2</v>
      </c>
      <c r="K69">
        <v>-1.7057602247557001E-2</v>
      </c>
      <c r="L69">
        <v>-1.8697579153619599E-2</v>
      </c>
      <c r="M69" s="2"/>
      <c r="N69" s="2"/>
      <c r="O69" s="2"/>
      <c r="P69" s="2"/>
      <c r="Q69" s="2"/>
    </row>
    <row r="70" spans="1:17" x14ac:dyDescent="0.2">
      <c r="A70">
        <v>6.5041016852438399E-3</v>
      </c>
      <c r="B70">
        <v>1.10182596266206E-2</v>
      </c>
      <c r="C70">
        <v>1.0944102376555501E-3</v>
      </c>
      <c r="D70">
        <v>1.4781280859568599E-2</v>
      </c>
      <c r="E70">
        <v>-7.4498473502879704E-3</v>
      </c>
      <c r="F70">
        <v>-3.6882139254252799E-3</v>
      </c>
      <c r="G70">
        <v>-6.9283264393860096E-3</v>
      </c>
      <c r="H70">
        <v>3.0468356112258702E-3</v>
      </c>
      <c r="I70">
        <v>-7.1585183320310702E-3</v>
      </c>
      <c r="J70">
        <v>1.4126167871483899E-2</v>
      </c>
      <c r="K70">
        <v>-1.6962887795479199E-2</v>
      </c>
      <c r="L70">
        <v>3.9376510338255902E-3</v>
      </c>
      <c r="M70" s="2"/>
      <c r="N70" s="2"/>
      <c r="O70" s="2"/>
      <c r="P70" s="2"/>
      <c r="Q70" s="2"/>
    </row>
    <row r="71" spans="1:17" x14ac:dyDescent="0.2">
      <c r="A71">
        <v>-3.3889241597009302E-3</v>
      </c>
      <c r="B71">
        <v>-7.4972655746741099E-3</v>
      </c>
      <c r="C71">
        <v>-4.3963645874383001E-3</v>
      </c>
      <c r="D71">
        <v>-3.5806282231751699E-3</v>
      </c>
      <c r="E71">
        <v>-3.2401484229067599E-3</v>
      </c>
      <c r="F71">
        <v>-4.8143420226018901E-3</v>
      </c>
      <c r="G71">
        <v>-1.12959838766961E-2</v>
      </c>
      <c r="H71">
        <v>-3.3828445841805801E-3</v>
      </c>
      <c r="I71">
        <v>-4.6756666515355098E-3</v>
      </c>
      <c r="J71">
        <v>-1.2757341207191001E-2</v>
      </c>
      <c r="K71">
        <v>-1.02537615640159E-2</v>
      </c>
      <c r="L71">
        <v>-4.5547877607958701E-3</v>
      </c>
      <c r="M71" s="2"/>
      <c r="N71" s="2"/>
      <c r="O71" s="2"/>
      <c r="P71" s="2"/>
      <c r="Q71" s="2"/>
    </row>
    <row r="72" spans="1:17" x14ac:dyDescent="0.2">
      <c r="A72">
        <v>-3.2057149992565899E-3</v>
      </c>
      <c r="B72">
        <v>6.8636776703456803E-4</v>
      </c>
      <c r="C72">
        <v>-8.8296350981380504E-3</v>
      </c>
      <c r="D72">
        <v>9.8992162566347002E-3</v>
      </c>
      <c r="E72">
        <v>1.24394583624365E-2</v>
      </c>
      <c r="F72">
        <v>1.8818226947012701E-2</v>
      </c>
      <c r="G72">
        <v>-1.69169942260349E-3</v>
      </c>
      <c r="H72">
        <v>4.96076288150781E-3</v>
      </c>
      <c r="I72">
        <v>1.1839387489675999E-2</v>
      </c>
      <c r="J72">
        <v>1.37492395270406E-2</v>
      </c>
      <c r="K72">
        <v>2.43007520754332E-2</v>
      </c>
      <c r="L72">
        <v>3.0670676859576099E-2</v>
      </c>
      <c r="M72" s="2"/>
      <c r="N72" s="2"/>
      <c r="O72" s="2"/>
      <c r="P72" s="2"/>
      <c r="Q72" s="2"/>
    </row>
    <row r="73" spans="1:17" x14ac:dyDescent="0.2">
      <c r="A73">
        <v>-1.95673813292911E-2</v>
      </c>
      <c r="B73">
        <v>-1.98118910200797E-2</v>
      </c>
      <c r="C73">
        <v>-1.3750668464807801E-2</v>
      </c>
      <c r="D73">
        <v>-2.98315324714826E-2</v>
      </c>
      <c r="E73">
        <v>-3.0259790070430399E-2</v>
      </c>
      <c r="F73">
        <v>-2.4391559467090901E-2</v>
      </c>
      <c r="G73">
        <v>-7.6936880103026699E-3</v>
      </c>
      <c r="H73">
        <v>-1.01053806045205E-2</v>
      </c>
      <c r="I73">
        <v>5.43492145445867E-3</v>
      </c>
      <c r="J73">
        <v>-1.2908372487042401E-2</v>
      </c>
      <c r="K73">
        <v>-1.3862664167852701E-2</v>
      </c>
      <c r="L73">
        <v>-8.2506313692816101E-3</v>
      </c>
      <c r="M73" s="2"/>
      <c r="N73" s="2"/>
      <c r="O73" s="2"/>
      <c r="P73" s="2"/>
      <c r="Q73" s="2"/>
    </row>
    <row r="74" spans="1:17" x14ac:dyDescent="0.2">
      <c r="A74">
        <v>-1.1998090588829001E-2</v>
      </c>
      <c r="B74">
        <v>-7.4745607030948201E-3</v>
      </c>
      <c r="C74">
        <v>-2.5297864359909899E-3</v>
      </c>
      <c r="D74">
        <v>-4.8682932043773103E-3</v>
      </c>
      <c r="E74">
        <v>-4.5953807427281303E-3</v>
      </c>
      <c r="F74">
        <v>-1.8863667379434901E-2</v>
      </c>
      <c r="G74">
        <v>-3.0010513556595298E-3</v>
      </c>
      <c r="H74">
        <v>-1.3271690022672301E-2</v>
      </c>
      <c r="I74">
        <v>-5.2948572941025002E-3</v>
      </c>
      <c r="J74">
        <v>-6.34048270865683E-3</v>
      </c>
      <c r="K74">
        <v>-2.3605988016290802E-3</v>
      </c>
      <c r="L74">
        <v>6.77230765475389E-3</v>
      </c>
      <c r="M74" s="2"/>
      <c r="N74" s="2"/>
      <c r="O74" s="2"/>
      <c r="P74" s="2"/>
      <c r="Q74" s="2"/>
    </row>
    <row r="75" spans="1:17" x14ac:dyDescent="0.2">
      <c r="A75">
        <v>-1.00120609725573E-2</v>
      </c>
      <c r="B75">
        <v>-1.32061489775807E-2</v>
      </c>
      <c r="C75">
        <v>-1.3961505395503299E-2</v>
      </c>
      <c r="D75">
        <v>-4.6957993223708501E-3</v>
      </c>
      <c r="E75">
        <v>-9.9559265874660198E-4</v>
      </c>
      <c r="F75">
        <v>-1.13687722547455E-2</v>
      </c>
      <c r="G75">
        <v>-7.7056032244833201E-3</v>
      </c>
      <c r="H75">
        <v>-1.3291346596723401E-2</v>
      </c>
      <c r="I75">
        <v>-8.3661746553937901E-3</v>
      </c>
      <c r="J75">
        <v>-1.7510762356839502E-2</v>
      </c>
      <c r="K75">
        <v>-5.0862974082050904E-3</v>
      </c>
      <c r="L75">
        <v>-1.12180257987164E-2</v>
      </c>
      <c r="M75" s="2"/>
      <c r="N75" s="2"/>
      <c r="O75" s="2"/>
      <c r="P75" s="2"/>
      <c r="Q75" s="2"/>
    </row>
    <row r="76" spans="1:17" x14ac:dyDescent="0.2">
      <c r="A76">
        <v>2.0300347129453802E-2</v>
      </c>
      <c r="B76">
        <v>1.7150985873482402E-2</v>
      </c>
      <c r="C76">
        <v>1.9985877226446201E-2</v>
      </c>
      <c r="D76">
        <v>7.2818290158282997E-3</v>
      </c>
      <c r="E76">
        <v>5.0726775330334197E-3</v>
      </c>
      <c r="F76">
        <v>4.8551095006246197E-3</v>
      </c>
      <c r="G76">
        <v>8.4794321337966494E-3</v>
      </c>
      <c r="H76">
        <v>6.0571213382694103E-3</v>
      </c>
      <c r="I76">
        <v>7.4212998203364499E-3</v>
      </c>
      <c r="J76">
        <v>2.92132112654375E-3</v>
      </c>
      <c r="K76">
        <v>4.0334195410878203E-3</v>
      </c>
      <c r="L76">
        <v>5.4699233421624501E-3</v>
      </c>
      <c r="M76" s="2"/>
      <c r="N76" s="2"/>
      <c r="O76" s="2"/>
      <c r="P76" s="2"/>
      <c r="Q76" s="2"/>
    </row>
    <row r="77" spans="1:17" x14ac:dyDescent="0.2">
      <c r="A77">
        <v>4.09332585948885E-3</v>
      </c>
      <c r="B77">
        <v>3.1183573842952202E-3</v>
      </c>
      <c r="C77">
        <v>1.0920829764512601E-2</v>
      </c>
      <c r="D77">
        <v>7.8642790272720399E-4</v>
      </c>
      <c r="E77">
        <v>3.3558522406371598E-3</v>
      </c>
      <c r="F77">
        <v>5.2766594154611797E-3</v>
      </c>
      <c r="G77">
        <v>5.9448315071106697E-3</v>
      </c>
      <c r="H77">
        <v>6.35737280753545E-3</v>
      </c>
      <c r="I77">
        <v>9.9466382337141095E-3</v>
      </c>
      <c r="J77">
        <v>8.8326678887371505E-3</v>
      </c>
      <c r="K77">
        <v>2.8800319240813699E-3</v>
      </c>
      <c r="L77">
        <v>7.5737183274524602E-3</v>
      </c>
      <c r="M77" s="2"/>
      <c r="N77" s="2"/>
      <c r="O77" s="2"/>
      <c r="P77" s="2"/>
      <c r="Q77" s="2"/>
    </row>
    <row r="78" spans="1:17" x14ac:dyDescent="0.2">
      <c r="A78">
        <v>-7.5290363182389797E-4</v>
      </c>
      <c r="B78">
        <v>-6.5002098536366404E-3</v>
      </c>
      <c r="C78">
        <v>-1.5949458510962501E-2</v>
      </c>
      <c r="D78">
        <v>-2.4903651294302099E-2</v>
      </c>
      <c r="E78">
        <v>-1.3816352733323699E-2</v>
      </c>
      <c r="F78">
        <v>-3.2292549029796697E-2</v>
      </c>
      <c r="G78">
        <v>-1.12410248970098E-2</v>
      </c>
      <c r="H78">
        <v>1.1632024684622801E-2</v>
      </c>
      <c r="I78">
        <v>-1.4809626085400899E-2</v>
      </c>
      <c r="J78">
        <v>1.7374368786807499E-2</v>
      </c>
      <c r="K78">
        <v>-1.5992839320761999E-2</v>
      </c>
      <c r="L78">
        <v>-3.8053375268738399E-3</v>
      </c>
      <c r="M78" s="2"/>
      <c r="N78" s="2"/>
      <c r="O78" s="2"/>
      <c r="P78" s="2"/>
      <c r="Q78" s="2"/>
    </row>
    <row r="79" spans="1:17" x14ac:dyDescent="0.2">
      <c r="A79">
        <v>2.0987541083689699E-2</v>
      </c>
      <c r="B79">
        <v>5.0248808363007004E-3</v>
      </c>
      <c r="C79">
        <v>9.5898315309481605E-3</v>
      </c>
      <c r="D79">
        <v>2.26314025214247E-3</v>
      </c>
      <c r="E79">
        <v>1.20059394798259E-2</v>
      </c>
      <c r="F79">
        <v>9.6263635330036106E-3</v>
      </c>
      <c r="G79">
        <v>4.2975102853850498E-3</v>
      </c>
      <c r="H79">
        <v>2.77537032438301E-2</v>
      </c>
      <c r="I79">
        <v>2.7014918570272599E-2</v>
      </c>
      <c r="J79">
        <v>-1.9728046035984499E-2</v>
      </c>
      <c r="K79">
        <v>3.4950467455652202E-4</v>
      </c>
      <c r="L79">
        <v>-6.6585711511404303E-3</v>
      </c>
      <c r="M79" s="2"/>
      <c r="N79" s="2"/>
      <c r="O79" s="2"/>
      <c r="P79" s="2"/>
      <c r="Q79" s="2"/>
    </row>
    <row r="80" spans="1:17" x14ac:dyDescent="0.2">
      <c r="A80">
        <v>-4.1895552374970798E-4</v>
      </c>
      <c r="B80">
        <v>1.4365713204789099E-2</v>
      </c>
      <c r="C80">
        <v>1.010792706791E-2</v>
      </c>
      <c r="D80">
        <v>-3.2925058712045502E-3</v>
      </c>
      <c r="E80">
        <v>1.8505759445375199E-3</v>
      </c>
      <c r="F80">
        <v>1.93137012801818E-2</v>
      </c>
      <c r="G80">
        <v>-2.5530431697973199E-3</v>
      </c>
      <c r="H80">
        <v>4.3471233094400904E-3</v>
      </c>
      <c r="I80">
        <v>-7.6191549985979903E-3</v>
      </c>
      <c r="J80">
        <v>-9.6729953717309396E-3</v>
      </c>
      <c r="K80">
        <v>-1.42236190082556E-3</v>
      </c>
      <c r="L80">
        <v>-6.9159740324025096E-3</v>
      </c>
      <c r="M80" s="2"/>
      <c r="N80" s="2"/>
      <c r="O80" s="2"/>
      <c r="P80" s="2"/>
      <c r="Q80" s="2"/>
    </row>
    <row r="81" spans="1:17" x14ac:dyDescent="0.2">
      <c r="A81">
        <v>5.70413136261738E-3</v>
      </c>
      <c r="B81">
        <v>1.31995469106094E-2</v>
      </c>
      <c r="C81">
        <v>1.1330626197882001E-2</v>
      </c>
      <c r="D81">
        <v>1.0592726082799099E-2</v>
      </c>
      <c r="E81">
        <v>1.4014503586143799E-2</v>
      </c>
      <c r="F81">
        <v>1.4020316490439499E-2</v>
      </c>
      <c r="G81">
        <v>1.5721640008682501E-2</v>
      </c>
      <c r="H81">
        <v>1.71330262889011E-2</v>
      </c>
      <c r="I81">
        <v>1.5787895171251301E-2</v>
      </c>
      <c r="J81">
        <v>1.9152137960403999E-2</v>
      </c>
      <c r="K81">
        <v>1.9421791481105E-2</v>
      </c>
      <c r="L81">
        <v>2.6124085754377101E-2</v>
      </c>
      <c r="M81" s="2"/>
      <c r="N81" s="2"/>
      <c r="O81" s="2"/>
      <c r="P81" s="2"/>
      <c r="Q81" s="2"/>
    </row>
    <row r="82" spans="1:17" x14ac:dyDescent="0.2">
      <c r="A82">
        <v>-1.7018949800001501E-2</v>
      </c>
      <c r="B82">
        <v>-1.5215700585104099E-2</v>
      </c>
      <c r="C82">
        <v>-1.3959157980094601E-2</v>
      </c>
      <c r="D82">
        <v>-1.19700277141996E-2</v>
      </c>
      <c r="E82">
        <v>4.9231204851469803E-3</v>
      </c>
      <c r="F82">
        <v>-1.3047089502419E-2</v>
      </c>
      <c r="G82">
        <v>-1.3897394456259701E-2</v>
      </c>
      <c r="H82">
        <v>-1.78592829912744E-2</v>
      </c>
      <c r="I82">
        <v>-2.2303640211980202E-3</v>
      </c>
      <c r="J82">
        <v>-1.2926083961869599E-2</v>
      </c>
      <c r="K82">
        <v>-1.1138992664098299E-2</v>
      </c>
      <c r="L82">
        <v>-6.4125004156965204E-3</v>
      </c>
      <c r="M82" s="2"/>
      <c r="N82" s="2"/>
      <c r="O82" s="2"/>
      <c r="P82" s="2"/>
      <c r="Q82" s="2"/>
    </row>
    <row r="83" spans="1:17" x14ac:dyDescent="0.2">
      <c r="A83">
        <v>1.3884660920947299E-2</v>
      </c>
      <c r="B83">
        <v>1.1705034323000499E-2</v>
      </c>
      <c r="C83">
        <v>-9.4603917191804499E-4</v>
      </c>
      <c r="D83">
        <v>2.62047854254383E-2</v>
      </c>
      <c r="E83">
        <v>1.9456301168276E-2</v>
      </c>
      <c r="F83">
        <v>2.6894527560517401E-2</v>
      </c>
      <c r="G83">
        <v>1.00385449538293E-2</v>
      </c>
      <c r="H83">
        <v>2.1368031166097E-2</v>
      </c>
      <c r="I83">
        <v>1.5993166913705E-2</v>
      </c>
      <c r="J83">
        <v>6.83622495273805E-3</v>
      </c>
      <c r="K83">
        <v>1.89478115941446E-2</v>
      </c>
      <c r="L83">
        <v>1.5716119542392201E-2</v>
      </c>
      <c r="M83" s="2"/>
      <c r="N83" s="2"/>
      <c r="O83" s="2"/>
      <c r="P83" s="2"/>
      <c r="Q83" s="2"/>
    </row>
    <row r="85" spans="1:17" x14ac:dyDescent="0.2">
      <c r="A85">
        <f>AVERAGE(A1:A83)</f>
        <v>1.7124758223102405E-3</v>
      </c>
      <c r="B85">
        <f t="shared" ref="B85:L85" si="0">AVERAGE(B1:B83)</f>
        <v>1.3923282923481457E-3</v>
      </c>
      <c r="C85">
        <f t="shared" si="0"/>
        <v>3.1765919629929535E-3</v>
      </c>
      <c r="D85">
        <f t="shared" si="0"/>
        <v>1.6767961501039708E-3</v>
      </c>
      <c r="E85">
        <f t="shared" si="0"/>
        <v>2.0809766487435303E-3</v>
      </c>
      <c r="F85">
        <f t="shared" si="0"/>
        <v>7.2025928126921962E-4</v>
      </c>
      <c r="G85">
        <f t="shared" si="0"/>
        <v>1.0812023664312806E-3</v>
      </c>
      <c r="H85">
        <f t="shared" si="0"/>
        <v>4.0987019472509493E-3</v>
      </c>
      <c r="I85" s="5">
        <f t="shared" si="0"/>
        <v>4.5931407023238162E-3</v>
      </c>
      <c r="J85">
        <f t="shared" si="0"/>
        <v>7.8700337017369117E-4</v>
      </c>
      <c r="K85">
        <f t="shared" si="0"/>
        <v>8.9840914363658849E-4</v>
      </c>
      <c r="L85">
        <f t="shared" si="0"/>
        <v>2.1579699690445694E-3</v>
      </c>
      <c r="M85">
        <f>MIN(A1:L83)</f>
        <v>-3.8093641482493702E-2</v>
      </c>
    </row>
    <row r="86" spans="1:17" x14ac:dyDescent="0.2">
      <c r="A86">
        <f>MIN(A1:A83)</f>
        <v>-2.6405629719074598E-2</v>
      </c>
      <c r="B86">
        <f t="shared" ref="B86:L86" si="1">MIN(B1:B83)</f>
        <v>-2.7262153367558099E-2</v>
      </c>
      <c r="C86">
        <f t="shared" si="1"/>
        <v>-3.8093641482493702E-2</v>
      </c>
      <c r="D86">
        <f t="shared" si="1"/>
        <v>-2.98315324714826E-2</v>
      </c>
      <c r="E86">
        <f t="shared" si="1"/>
        <v>-3.0259790070430399E-2</v>
      </c>
      <c r="F86">
        <f t="shared" si="1"/>
        <v>-3.4335830980375598E-2</v>
      </c>
      <c r="G86">
        <f t="shared" si="1"/>
        <v>-3.3974738872866603E-2</v>
      </c>
      <c r="H86">
        <f t="shared" si="1"/>
        <v>-3.6740619824102198E-2</v>
      </c>
      <c r="I86" s="5">
        <f t="shared" si="1"/>
        <v>-3.5586775701527101E-2</v>
      </c>
      <c r="J86">
        <f t="shared" si="1"/>
        <v>-2.7783246889030399E-2</v>
      </c>
      <c r="K86">
        <f t="shared" si="1"/>
        <v>-3.42099200898777E-2</v>
      </c>
      <c r="L86">
        <f t="shared" si="1"/>
        <v>-3.2355827344748997E-2</v>
      </c>
      <c r="M86">
        <f>MAX(A2:L84)</f>
        <v>5.6079327337405602E-2</v>
      </c>
    </row>
    <row r="87" spans="1:17" x14ac:dyDescent="0.2">
      <c r="A87">
        <f>MAX(A2:A84)</f>
        <v>3.3523497481811902E-2</v>
      </c>
      <c r="B87">
        <f t="shared" ref="B87:L87" si="2">MAX(B2:B84)</f>
        <v>3.75843080020219E-2</v>
      </c>
      <c r="C87">
        <f t="shared" si="2"/>
        <v>5.6079327337405602E-2</v>
      </c>
      <c r="D87">
        <f t="shared" si="2"/>
        <v>3.5875883531513601E-2</v>
      </c>
      <c r="E87">
        <f t="shared" si="2"/>
        <v>2.7915308698192198E-2</v>
      </c>
      <c r="F87">
        <f t="shared" si="2"/>
        <v>2.7898346089195902E-2</v>
      </c>
      <c r="G87">
        <f t="shared" si="2"/>
        <v>3.4850038192889302E-2</v>
      </c>
      <c r="H87">
        <f t="shared" si="2"/>
        <v>3.9017697822997001E-2</v>
      </c>
      <c r="I87" s="5">
        <f t="shared" si="2"/>
        <v>3.5526359733232399E-2</v>
      </c>
      <c r="J87">
        <f t="shared" si="2"/>
        <v>2.5989765622384999E-2</v>
      </c>
      <c r="K87">
        <f t="shared" si="2"/>
        <v>2.86873205735487E-2</v>
      </c>
      <c r="L87">
        <f t="shared" si="2"/>
        <v>3.8984316802849799E-2</v>
      </c>
    </row>
    <row r="89" spans="1:17" x14ac:dyDescent="0.2">
      <c r="A89">
        <v>42</v>
      </c>
      <c r="B89">
        <f t="shared" ref="B89:H89" si="3">COUNTIF(B1:B83,"&gt;0")</f>
        <v>42</v>
      </c>
      <c r="C89">
        <f t="shared" si="3"/>
        <v>47</v>
      </c>
      <c r="D89">
        <f t="shared" si="3"/>
        <v>48</v>
      </c>
      <c r="E89" s="12">
        <f t="shared" si="3"/>
        <v>50</v>
      </c>
      <c r="F89">
        <f t="shared" si="3"/>
        <v>45</v>
      </c>
      <c r="G89">
        <f t="shared" si="3"/>
        <v>42</v>
      </c>
      <c r="H89">
        <f t="shared" si="3"/>
        <v>51</v>
      </c>
      <c r="I89" s="6">
        <v>49</v>
      </c>
      <c r="J89">
        <f>COUNTIF(J1:J83,"&gt;0")</f>
        <v>46</v>
      </c>
      <c r="K89">
        <f>COUNTIF(K1:K83,"&gt;0")</f>
        <v>40</v>
      </c>
      <c r="L89">
        <f>COUNTIF(L1:L83,"&gt;0")</f>
        <v>42</v>
      </c>
    </row>
    <row r="90" spans="1:17" x14ac:dyDescent="0.2">
      <c r="A90" s="5">
        <f t="shared" ref="A90:L90" si="4">COUNTIF(A1:A83,"&lt;=0")</f>
        <v>41</v>
      </c>
      <c r="B90" s="5">
        <f t="shared" si="4"/>
        <v>41</v>
      </c>
      <c r="C90" s="5">
        <f t="shared" si="4"/>
        <v>36</v>
      </c>
      <c r="D90" s="5">
        <f t="shared" si="4"/>
        <v>35</v>
      </c>
      <c r="E90" s="12">
        <f t="shared" si="4"/>
        <v>33</v>
      </c>
      <c r="F90" s="5">
        <f t="shared" si="4"/>
        <v>38</v>
      </c>
      <c r="G90" s="5">
        <f t="shared" si="4"/>
        <v>41</v>
      </c>
      <c r="H90" s="5">
        <f t="shared" si="4"/>
        <v>32</v>
      </c>
      <c r="I90" s="5">
        <f>COUNTIF(I1:I83,"&lt;=0")</f>
        <v>34</v>
      </c>
      <c r="J90" s="5">
        <f t="shared" si="4"/>
        <v>37</v>
      </c>
      <c r="K90" s="5">
        <f t="shared" si="4"/>
        <v>43</v>
      </c>
      <c r="L90" s="5">
        <f t="shared" si="4"/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B190-F344-4A47-9744-53B791443EDB}">
  <dimension ref="A1:B12"/>
  <sheetViews>
    <sheetView workbookViewId="0">
      <selection activeCell="D39" sqref="D39"/>
    </sheetView>
  </sheetViews>
  <sheetFormatPr baseColWidth="10" defaultRowHeight="16" x14ac:dyDescent="0.2"/>
  <cols>
    <col min="1" max="1" width="27.6640625" bestFit="1" customWidth="1"/>
  </cols>
  <sheetData>
    <row r="1" spans="1:2" x14ac:dyDescent="0.2">
      <c r="A1" s="1" t="s">
        <v>8</v>
      </c>
      <c r="B1" s="1">
        <v>2.7294461340643301</v>
      </c>
    </row>
    <row r="2" spans="1:2" x14ac:dyDescent="0.2">
      <c r="A2" s="1" t="s">
        <v>7</v>
      </c>
      <c r="B2" s="3">
        <v>2.5725710606950498</v>
      </c>
    </row>
    <row r="3" spans="1:2" x14ac:dyDescent="0.2">
      <c r="A3" s="1" t="s">
        <v>2</v>
      </c>
      <c r="B3" s="3">
        <v>1.9253532716525299</v>
      </c>
    </row>
    <row r="4" spans="1:2" x14ac:dyDescent="0.2">
      <c r="A4" s="1" t="s">
        <v>4</v>
      </c>
      <c r="B4" s="3">
        <v>1.6872190462893299</v>
      </c>
    </row>
    <row r="5" spans="1:2" x14ac:dyDescent="0.2">
      <c r="A5" s="1" t="s">
        <v>11</v>
      </c>
      <c r="B5" s="3">
        <v>1.2954212659118001</v>
      </c>
    </row>
    <row r="6" spans="1:2" x14ac:dyDescent="0.2">
      <c r="A6" s="1" t="s">
        <v>0</v>
      </c>
      <c r="B6" s="3">
        <v>1.2855310631285499</v>
      </c>
    </row>
    <row r="7" spans="1:2" x14ac:dyDescent="0.2">
      <c r="A7" s="1" t="s">
        <v>3</v>
      </c>
      <c r="B7" s="3">
        <v>1.1278562389809701</v>
      </c>
    </row>
    <row r="8" spans="1:2" x14ac:dyDescent="0.2">
      <c r="A8" s="1" t="s">
        <v>1</v>
      </c>
      <c r="B8" s="3">
        <v>1.0476346986346601</v>
      </c>
    </row>
    <row r="9" spans="1:2" x14ac:dyDescent="0.2">
      <c r="A9" s="1" t="s">
        <v>6</v>
      </c>
      <c r="B9" s="3">
        <v>0.76121976366213895</v>
      </c>
    </row>
    <row r="10" spans="1:2" x14ac:dyDescent="0.2">
      <c r="A10" s="1" t="s">
        <v>10</v>
      </c>
      <c r="B10" s="3">
        <v>0.549303166209267</v>
      </c>
    </row>
    <row r="11" spans="1:2" x14ac:dyDescent="0.2">
      <c r="A11" s="1" t="s">
        <v>9</v>
      </c>
      <c r="B11" s="3">
        <v>0.53038641958154897</v>
      </c>
    </row>
    <row r="12" spans="1:2" x14ac:dyDescent="0.2">
      <c r="A12" s="1" t="s">
        <v>5</v>
      </c>
      <c r="B12" s="3">
        <v>0.44759151752236298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8FBB-62FE-A94B-B840-2C45AB210672}">
  <dimension ref="A1:I31"/>
  <sheetViews>
    <sheetView tabSelected="1" topLeftCell="C1" zoomScale="150" workbookViewId="0">
      <selection activeCell="G23" sqref="G23"/>
    </sheetView>
  </sheetViews>
  <sheetFormatPr baseColWidth="10" defaultColWidth="13.83203125" defaultRowHeight="16" x14ac:dyDescent="0.2"/>
  <cols>
    <col min="2" max="2" width="14.83203125" customWidth="1"/>
    <col min="3" max="3" width="16" customWidth="1"/>
    <col min="4" max="4" width="14.83203125" customWidth="1"/>
    <col min="5" max="5" width="14.5" customWidth="1"/>
    <col min="6" max="6" width="15.5" customWidth="1"/>
    <col min="7" max="7" width="15.6640625" customWidth="1"/>
    <col min="8" max="8" width="14.5" bestFit="1" customWidth="1"/>
    <col min="9" max="9" width="21.83203125" bestFit="1" customWidth="1"/>
  </cols>
  <sheetData>
    <row r="1" spans="1:9" s="7" customFormat="1" ht="17" thickBot="1" x14ac:dyDescent="0.25">
      <c r="B1" s="9" t="s">
        <v>13</v>
      </c>
      <c r="C1" s="10" t="s">
        <v>14</v>
      </c>
      <c r="D1" s="10" t="s">
        <v>15</v>
      </c>
      <c r="E1" s="10" t="s">
        <v>12</v>
      </c>
      <c r="F1" s="10" t="s">
        <v>16</v>
      </c>
      <c r="G1" s="10" t="s">
        <v>17</v>
      </c>
      <c r="H1" s="10" t="s">
        <v>19</v>
      </c>
      <c r="I1" s="11" t="s">
        <v>18</v>
      </c>
    </row>
    <row r="2" spans="1:9" x14ac:dyDescent="0.2">
      <c r="A2">
        <v>1</v>
      </c>
      <c r="B2" s="13" t="s">
        <v>8</v>
      </c>
      <c r="C2" s="13">
        <v>4.5931407023238197E-3</v>
      </c>
      <c r="D2" s="13">
        <v>1.2849590857433801E-3</v>
      </c>
      <c r="E2" s="13">
        <v>7.78731318879559E-3</v>
      </c>
      <c r="F2" s="13">
        <v>2.7294461340643301</v>
      </c>
      <c r="G2" s="13">
        <v>3.88090980383976E-3</v>
      </c>
      <c r="H2" s="13">
        <v>59.036144578313198</v>
      </c>
      <c r="I2" s="13">
        <v>49</v>
      </c>
    </row>
    <row r="3" spans="1:9" x14ac:dyDescent="0.2">
      <c r="A3">
        <v>2</v>
      </c>
      <c r="B3" s="13" t="s">
        <v>7</v>
      </c>
      <c r="C3" s="13">
        <v>4.0987019472509502E-3</v>
      </c>
      <c r="D3" s="13">
        <v>8.7950724294218597E-4</v>
      </c>
      <c r="E3" s="13">
        <v>7.2683895947668799E-3</v>
      </c>
      <c r="F3" s="13">
        <v>2.5725710606950498</v>
      </c>
      <c r="G3" s="13">
        <v>5.9484629290803897E-3</v>
      </c>
      <c r="H3" s="13">
        <v>61.445783132530103</v>
      </c>
      <c r="I3" s="13">
        <v>51</v>
      </c>
    </row>
    <row r="4" spans="1:9" x14ac:dyDescent="0.2">
      <c r="A4">
        <v>3</v>
      </c>
      <c r="B4" s="13" t="s">
        <v>2</v>
      </c>
      <c r="C4" s="13">
        <v>3.17659196299296E-3</v>
      </c>
      <c r="D4" s="14">
        <v>-9.4995567228119897E-5</v>
      </c>
      <c r="E4" s="13">
        <v>6.1245300190265403E-3</v>
      </c>
      <c r="F4" s="13">
        <v>1.9253532716525299</v>
      </c>
      <c r="G4" s="13">
        <v>2.8825935646399799E-2</v>
      </c>
      <c r="H4" s="13">
        <v>56.626506024096301</v>
      </c>
      <c r="I4" s="13">
        <v>47</v>
      </c>
    </row>
    <row r="5" spans="1:9" x14ac:dyDescent="0.2">
      <c r="A5">
        <v>4</v>
      </c>
      <c r="B5" s="13" t="s">
        <v>4</v>
      </c>
      <c r="C5" s="13">
        <v>2.0809766487435298E-3</v>
      </c>
      <c r="D5" s="13">
        <v>-5.5143259543687703E-4</v>
      </c>
      <c r="E5" s="13">
        <v>4.3978721397839099E-3</v>
      </c>
      <c r="F5" s="13">
        <v>1.6872190462893299</v>
      </c>
      <c r="G5" s="13">
        <v>4.76809862336975E-2</v>
      </c>
      <c r="H5" s="13">
        <v>60.240963855421597</v>
      </c>
      <c r="I5" s="13">
        <v>50</v>
      </c>
    </row>
    <row r="6" spans="1:9" x14ac:dyDescent="0.2">
      <c r="A6">
        <v>5</v>
      </c>
      <c r="B6" s="13" t="s">
        <v>11</v>
      </c>
      <c r="C6" s="13">
        <v>2.1579699690445699E-3</v>
      </c>
      <c r="D6" s="13">
        <v>-8.7207513338838805E-4</v>
      </c>
      <c r="E6" s="13">
        <v>5.4800549396994604E-3</v>
      </c>
      <c r="F6" s="13">
        <v>1.2954212659118001</v>
      </c>
      <c r="G6" s="13">
        <v>9.9404990784657699E-2</v>
      </c>
      <c r="H6" s="13">
        <v>50.602409638554199</v>
      </c>
      <c r="I6" s="13">
        <v>42</v>
      </c>
    </row>
    <row r="7" spans="1:9" x14ac:dyDescent="0.2">
      <c r="A7">
        <v>6</v>
      </c>
      <c r="B7" s="13" t="s">
        <v>0</v>
      </c>
      <c r="C7" s="13">
        <v>1.7124758223102401E-3</v>
      </c>
      <c r="D7" s="13">
        <v>-7.1171451106742201E-4</v>
      </c>
      <c r="E7" s="13">
        <v>4.14929588610039E-3</v>
      </c>
      <c r="F7" s="13">
        <v>1.2855310631285499</v>
      </c>
      <c r="G7" s="13">
        <v>0.101112755990288</v>
      </c>
      <c r="H7" s="13">
        <v>50.602409638554199</v>
      </c>
      <c r="I7" s="13">
        <v>42</v>
      </c>
    </row>
    <row r="8" spans="1:9" x14ac:dyDescent="0.2">
      <c r="A8">
        <v>7</v>
      </c>
      <c r="B8" s="13" t="s">
        <v>3</v>
      </c>
      <c r="C8" s="13">
        <v>1.67679615010397E-3</v>
      </c>
      <c r="D8" s="13">
        <v>-1.22177460986868E-3</v>
      </c>
      <c r="E8" s="13">
        <v>4.7155457758872301E-3</v>
      </c>
      <c r="F8" s="13">
        <v>1.1278562389809701</v>
      </c>
      <c r="G8" s="13">
        <v>0.131334962972085</v>
      </c>
      <c r="H8" s="13">
        <v>57.831325301204799</v>
      </c>
      <c r="I8" s="13">
        <v>48</v>
      </c>
    </row>
    <row r="9" spans="1:9" x14ac:dyDescent="0.2">
      <c r="A9">
        <v>8</v>
      </c>
      <c r="B9" s="13" t="s">
        <v>1</v>
      </c>
      <c r="C9" s="13">
        <v>1.39232829234815E-3</v>
      </c>
      <c r="D9" s="13">
        <v>-1.23192777386505E-3</v>
      </c>
      <c r="E9" s="13">
        <v>3.9032427890203702E-3</v>
      </c>
      <c r="F9" s="13">
        <v>1.0476346986346601</v>
      </c>
      <c r="G9" s="13">
        <v>0.148942552883573</v>
      </c>
      <c r="H9" s="13">
        <v>50.602409638554199</v>
      </c>
      <c r="I9" s="13">
        <v>42</v>
      </c>
    </row>
    <row r="10" spans="1:9" x14ac:dyDescent="0.2">
      <c r="A10">
        <v>9</v>
      </c>
      <c r="B10" s="13" t="s">
        <v>6</v>
      </c>
      <c r="C10" s="13">
        <v>1.0812023664312799E-3</v>
      </c>
      <c r="D10" s="13">
        <v>-1.60943400436012E-3</v>
      </c>
      <c r="E10" s="13">
        <v>3.8535760796419901E-3</v>
      </c>
      <c r="F10" s="13">
        <v>0.76121976366213895</v>
      </c>
      <c r="G10" s="13">
        <v>0.22435472209177099</v>
      </c>
      <c r="H10" s="13">
        <v>50.602409638554199</v>
      </c>
      <c r="I10" s="13">
        <v>42</v>
      </c>
    </row>
    <row r="11" spans="1:9" x14ac:dyDescent="0.2">
      <c r="A11">
        <v>10</v>
      </c>
      <c r="B11" s="13" t="s">
        <v>10</v>
      </c>
      <c r="C11" s="13">
        <v>8.9840914363658805E-4</v>
      </c>
      <c r="D11" s="13">
        <v>-2.1810979076932E-3</v>
      </c>
      <c r="E11" s="13">
        <v>4.2098537006784601E-3</v>
      </c>
      <c r="F11" s="13">
        <v>0.549303166209267</v>
      </c>
      <c r="G11" s="13">
        <v>0.29214512669905701</v>
      </c>
      <c r="H11" s="13">
        <v>48.192771084337302</v>
      </c>
      <c r="I11" s="13">
        <v>40</v>
      </c>
    </row>
    <row r="12" spans="1:9" x14ac:dyDescent="0.2">
      <c r="A12">
        <v>11</v>
      </c>
      <c r="B12" s="13" t="s">
        <v>9</v>
      </c>
      <c r="C12" s="13">
        <v>7.8700337017369203E-4</v>
      </c>
      <c r="D12" s="13">
        <v>-2.0458235403328002E-3</v>
      </c>
      <c r="E12" s="13">
        <v>3.7469073014405902E-3</v>
      </c>
      <c r="F12" s="13">
        <v>0.53038641958154897</v>
      </c>
      <c r="G12" s="13">
        <v>0.29863873333291202</v>
      </c>
      <c r="H12" s="13">
        <v>55.421686746987902</v>
      </c>
      <c r="I12" s="13">
        <v>46</v>
      </c>
    </row>
    <row r="13" spans="1:9" x14ac:dyDescent="0.2">
      <c r="A13">
        <v>12</v>
      </c>
      <c r="B13" s="13" t="s">
        <v>5</v>
      </c>
      <c r="C13" s="13">
        <v>7.2025928126922298E-4</v>
      </c>
      <c r="D13" s="13">
        <v>-2.71013335876001E-3</v>
      </c>
      <c r="E13" s="13">
        <v>3.7439190927653198E-3</v>
      </c>
      <c r="F13" s="13">
        <v>0.44759151752236298</v>
      </c>
      <c r="G13" s="13">
        <v>0.32781411444265801</v>
      </c>
      <c r="H13" s="13">
        <v>54.216867469879503</v>
      </c>
      <c r="I13" s="13">
        <v>45</v>
      </c>
    </row>
    <row r="20" spans="2:9" x14ac:dyDescent="0.2">
      <c r="B20" s="1"/>
      <c r="C20" s="1"/>
      <c r="D20" s="1"/>
      <c r="E20" s="1"/>
      <c r="F20" s="1"/>
      <c r="G20" s="1"/>
    </row>
    <row r="21" spans="2:9" x14ac:dyDescent="0.2">
      <c r="B21" s="3"/>
      <c r="C21" s="3"/>
      <c r="D21" s="3"/>
      <c r="E21" s="3"/>
      <c r="F21" s="3"/>
      <c r="G21" s="3"/>
    </row>
    <row r="22" spans="2:9" x14ac:dyDescent="0.2">
      <c r="B22" s="4"/>
      <c r="C22" s="3"/>
      <c r="D22" s="3"/>
      <c r="E22" s="3"/>
      <c r="F22" s="3"/>
      <c r="G22" s="3"/>
    </row>
    <row r="23" spans="2:9" x14ac:dyDescent="0.2">
      <c r="B23" s="3"/>
      <c r="C23" s="3"/>
      <c r="D23" s="3"/>
      <c r="E23" s="3"/>
      <c r="F23" s="3"/>
      <c r="G23" s="3"/>
    </row>
    <row r="24" spans="2:9" x14ac:dyDescent="0.2">
      <c r="B24" s="3"/>
      <c r="C24" s="3"/>
      <c r="D24" s="3"/>
      <c r="E24" s="3"/>
      <c r="F24" s="3"/>
      <c r="G24" s="3"/>
    </row>
    <row r="25" spans="2:9" x14ac:dyDescent="0.2">
      <c r="B25" s="3"/>
      <c r="C25" s="3"/>
      <c r="D25" s="3"/>
      <c r="E25" s="3"/>
      <c r="F25" s="3"/>
      <c r="G25" s="3"/>
    </row>
    <row r="26" spans="2:9" x14ac:dyDescent="0.2">
      <c r="B26" s="3"/>
      <c r="C26" s="3"/>
      <c r="D26" s="3"/>
      <c r="E26" s="3"/>
      <c r="F26" s="3"/>
      <c r="G26" s="3"/>
    </row>
    <row r="27" spans="2:9" x14ac:dyDescent="0.2">
      <c r="B27" s="3"/>
      <c r="C27" s="3"/>
      <c r="D27" s="3"/>
      <c r="E27" s="3"/>
      <c r="F27" s="3"/>
      <c r="G27" s="3"/>
    </row>
    <row r="28" spans="2:9" x14ac:dyDescent="0.2">
      <c r="B28" s="3"/>
      <c r="C28" s="3"/>
      <c r="D28" s="3"/>
      <c r="E28" s="3"/>
      <c r="F28" s="3"/>
      <c r="G28" s="3"/>
    </row>
    <row r="29" spans="2:9" x14ac:dyDescent="0.2">
      <c r="B29" s="3"/>
      <c r="C29" s="3"/>
      <c r="D29" s="3"/>
      <c r="E29" s="3"/>
      <c r="F29" s="3"/>
      <c r="G29" s="3"/>
    </row>
    <row r="30" spans="2:9" x14ac:dyDescent="0.2">
      <c r="B30" s="3"/>
      <c r="C30" s="3"/>
      <c r="D30" s="3"/>
      <c r="E30" s="3"/>
      <c r="F30" s="3"/>
      <c r="G30" s="3"/>
    </row>
    <row r="31" spans="2:9" x14ac:dyDescent="0.2">
      <c r="B31" s="1"/>
      <c r="C31" s="3"/>
      <c r="D31" s="3"/>
      <c r="E31" s="3"/>
      <c r="F31" s="3"/>
      <c r="G31" s="3"/>
      <c r="H31" s="3"/>
      <c r="I31" s="3"/>
    </row>
  </sheetData>
  <sortState xmlns:xlrd2="http://schemas.microsoft.com/office/spreadsheetml/2017/richdata2" ref="A2:I13">
    <sortCondition ref="A1:A1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</vt:lpstr>
      <vt:lpstr>t-stat</vt:lpstr>
      <vt:lpstr>lofo rps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Ehsan Farzadnia</cp:lastModifiedBy>
  <dcterms:created xsi:type="dcterms:W3CDTF">2025-06-25T00:15:21Z</dcterms:created>
  <dcterms:modified xsi:type="dcterms:W3CDTF">2026-04-05T22:51:24Z</dcterms:modified>
</cp:coreProperties>
</file>