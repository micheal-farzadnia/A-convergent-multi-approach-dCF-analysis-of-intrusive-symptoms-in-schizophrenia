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al/Desktop/sc-rp/techniques/Del/"/>
    </mc:Choice>
  </mc:AlternateContent>
  <xr:revisionPtr revIDLastSave="0" documentId="13_ncr:1_{94CE9296-A38E-3D47-AA23-AE58B817800F}" xr6:coauthVersionLast="47" xr6:coauthVersionMax="47" xr10:uidLastSave="{00000000-0000-0000-0000-000000000000}"/>
  <bookViews>
    <workbookView xWindow="1720" yWindow="880" windowWidth="30000" windowHeight="20680" activeTab="3" xr2:uid="{C667F81E-0266-394F-8AA7-6D98E7FA0136}"/>
  </bookViews>
  <sheets>
    <sheet name="freq" sheetId="1" r:id="rId1"/>
    <sheet name="t-stat" sheetId="3" r:id="rId2"/>
    <sheet name="lofo rps results" sheetId="5" r:id="rId3"/>
    <sheet name="overfitting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8" i="6" l="1"/>
  <c r="A89" i="6"/>
  <c r="C89" i="6"/>
  <c r="C88" i="6"/>
  <c r="D87" i="6"/>
  <c r="B87" i="6"/>
  <c r="C87" i="6"/>
  <c r="A87" i="6"/>
  <c r="A90" i="1"/>
  <c r="J90" i="1"/>
  <c r="K90" i="1"/>
  <c r="L90" i="1"/>
  <c r="B90" i="1"/>
  <c r="C90" i="1"/>
  <c r="D90" i="1"/>
  <c r="E90" i="1"/>
  <c r="F90" i="1"/>
  <c r="G90" i="1"/>
  <c r="H90" i="1"/>
  <c r="I90" i="1"/>
  <c r="B87" i="1"/>
  <c r="C87" i="1"/>
  <c r="D87" i="1"/>
  <c r="E87" i="1"/>
  <c r="F87" i="1"/>
  <c r="G87" i="1"/>
  <c r="H87" i="1"/>
  <c r="I87" i="1"/>
  <c r="J87" i="1"/>
  <c r="K87" i="1"/>
  <c r="L87" i="1"/>
  <c r="A87" i="1"/>
  <c r="B86" i="1"/>
  <c r="C86" i="1"/>
  <c r="D86" i="1"/>
  <c r="E86" i="1"/>
  <c r="F86" i="1"/>
  <c r="G86" i="1"/>
  <c r="H86" i="1"/>
  <c r="I86" i="1"/>
  <c r="J86" i="1"/>
  <c r="K86" i="1"/>
  <c r="L86" i="1"/>
  <c r="A86" i="1"/>
  <c r="B85" i="1"/>
  <c r="C85" i="1"/>
  <c r="D85" i="1"/>
  <c r="E85" i="1"/>
  <c r="F85" i="1"/>
  <c r="G85" i="1"/>
  <c r="H85" i="1"/>
  <c r="I85" i="1"/>
  <c r="J85" i="1"/>
  <c r="K85" i="1"/>
  <c r="L85" i="1"/>
  <c r="A85" i="1"/>
  <c r="M86" i="1"/>
  <c r="M85" i="1"/>
</calcChain>
</file>

<file path=xl/sharedStrings.xml><?xml version="1.0" encoding="utf-8"?>
<sst xmlns="http://schemas.openxmlformats.org/spreadsheetml/2006/main" count="39" uniqueCount="27">
  <si>
    <t>s1sc-cc</t>
  </si>
  <si>
    <t>s1sc-dm</t>
  </si>
  <si>
    <t>s1cc-dm</t>
  </si>
  <si>
    <t>s2sc-cc</t>
  </si>
  <si>
    <t>s2sc-dm</t>
  </si>
  <si>
    <t>s2cc-dm</t>
  </si>
  <si>
    <t>s3sc-cc</t>
  </si>
  <si>
    <t>s3sc-dm</t>
  </si>
  <si>
    <t>s3cc-dm</t>
  </si>
  <si>
    <t>s4sc-cc</t>
  </si>
  <si>
    <t>s4sc-dm</t>
  </si>
  <si>
    <t>s4cc-dm</t>
  </si>
  <si>
    <t>Upper CI</t>
  </si>
  <si>
    <t>Feature</t>
  </si>
  <si>
    <t>RPS Drop Mean</t>
  </si>
  <si>
    <t>Lower CI</t>
  </si>
  <si>
    <t>T-statistics</t>
  </si>
  <si>
    <t>P-value (greater)</t>
  </si>
  <si>
    <t>Significant Count (&lt;0.05)</t>
  </si>
  <si>
    <t>Fold Stability (%)</t>
  </si>
  <si>
    <t>train_logloss</t>
  </si>
  <si>
    <t>train_accuracy</t>
  </si>
  <si>
    <t>val_logloss</t>
  </si>
  <si>
    <t>val_accuracy</t>
  </si>
  <si>
    <t>&lt;-mean</t>
  </si>
  <si>
    <t>&lt;-min</t>
  </si>
  <si>
    <t>&lt;-max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</si>
</sst>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1" fontId="1" fillId="0" borderId="0" xfId="0" applyNumberFormat="1" applyFont="1"/>
    <xf numFmtId="0" fontId="0" fillId="2" borderId="0" xfId="0" applyFill="1"/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11" fontId="2" fillId="0" borderId="0" xfId="0" applyNumberFormat="1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cap="all" spc="50" baseline="0">
                <a:solidFill>
                  <a:schemeClr val="tx1"/>
                </a:solidFill>
                <a:latin typeface="Apple Symbols" panose="02000000000000000000" pitchFamily="2" charset="-79"/>
                <a:ea typeface="+mn-ea"/>
                <a:cs typeface="+mn-cs"/>
              </a:defRPr>
            </a:pPr>
            <a:r>
              <a:rPr lang="en-US" sz="2500" baseline="0">
                <a:solidFill>
                  <a:schemeClr val="tx1"/>
                </a:solidFill>
                <a:latin typeface="Apple Symbols" panose="02000000000000000000" pitchFamily="2" charset="-79"/>
              </a:rPr>
              <a:t>Frequency of positive and negative RPS drop mean of different features across folds (Del)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cap="all" spc="50" baseline="0">
              <a:solidFill>
                <a:schemeClr val="tx1"/>
              </a:solidFill>
              <a:latin typeface="Apple Symbols" panose="02000000000000000000" pitchFamily="2" charset="-79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Fq. of Positive Drops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s1sc-cc</c:v>
              </c:pt>
              <c:pt idx="1">
                <c:v>s1sc-dm</c:v>
              </c:pt>
              <c:pt idx="2">
                <c:v>s1cc-dm</c:v>
              </c:pt>
              <c:pt idx="3">
                <c:v>s2sc-cc</c:v>
              </c:pt>
              <c:pt idx="4">
                <c:v>s2sc-dm</c:v>
              </c:pt>
              <c:pt idx="5">
                <c:v>s2cc-dm</c:v>
              </c:pt>
              <c:pt idx="6">
                <c:v>s3sc-cc</c:v>
              </c:pt>
              <c:pt idx="7">
                <c:v>s3sc-dm</c:v>
              </c:pt>
              <c:pt idx="8">
                <c:v>s3cc-dm</c:v>
              </c:pt>
              <c:pt idx="9">
                <c:v>s4sc-cc</c:v>
              </c:pt>
              <c:pt idx="10">
                <c:v>s4sc-dm</c:v>
              </c:pt>
              <c:pt idx="11">
                <c:v>s4cc-dm</c:v>
              </c:pt>
            </c:strLit>
          </c:cat>
          <c:val>
            <c:numRef>
              <c:f>freq!$A$89:$L$89</c:f>
              <c:numCache>
                <c:formatCode>General</c:formatCode>
                <c:ptCount val="12"/>
                <c:pt idx="0">
                  <c:v>46</c:v>
                </c:pt>
                <c:pt idx="1">
                  <c:v>44</c:v>
                </c:pt>
                <c:pt idx="2">
                  <c:v>49</c:v>
                </c:pt>
                <c:pt idx="3">
                  <c:v>52</c:v>
                </c:pt>
                <c:pt idx="4">
                  <c:v>50</c:v>
                </c:pt>
                <c:pt idx="5">
                  <c:v>51</c:v>
                </c:pt>
                <c:pt idx="6">
                  <c:v>45</c:v>
                </c:pt>
                <c:pt idx="7">
                  <c:v>46</c:v>
                </c:pt>
                <c:pt idx="8">
                  <c:v>46</c:v>
                </c:pt>
                <c:pt idx="9">
                  <c:v>45</c:v>
                </c:pt>
                <c:pt idx="10">
                  <c:v>49</c:v>
                </c:pt>
                <c:pt idx="1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4-4740-B0DA-7D3FEA04D6C1}"/>
            </c:ext>
          </c:extLst>
        </c:ser>
        <c:ser>
          <c:idx val="1"/>
          <c:order val="1"/>
          <c:tx>
            <c:v>Fq. of Negative Drops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s1sc-cc</c:v>
              </c:pt>
              <c:pt idx="1">
                <c:v>s1sc-dm</c:v>
              </c:pt>
              <c:pt idx="2">
                <c:v>s1cc-dm</c:v>
              </c:pt>
              <c:pt idx="3">
                <c:v>s2sc-cc</c:v>
              </c:pt>
              <c:pt idx="4">
                <c:v>s2sc-dm</c:v>
              </c:pt>
              <c:pt idx="5">
                <c:v>s2cc-dm</c:v>
              </c:pt>
              <c:pt idx="6">
                <c:v>s3sc-cc</c:v>
              </c:pt>
              <c:pt idx="7">
                <c:v>s3sc-dm</c:v>
              </c:pt>
              <c:pt idx="8">
                <c:v>s3cc-dm</c:v>
              </c:pt>
              <c:pt idx="9">
                <c:v>s4sc-cc</c:v>
              </c:pt>
              <c:pt idx="10">
                <c:v>s4sc-dm</c:v>
              </c:pt>
              <c:pt idx="11">
                <c:v>s4cc-dm</c:v>
              </c:pt>
            </c:strLit>
          </c:cat>
          <c:val>
            <c:numRef>
              <c:f>freq!$A$90:$L$90</c:f>
              <c:numCache>
                <c:formatCode>General</c:formatCode>
                <c:ptCount val="12"/>
                <c:pt idx="0">
                  <c:v>37</c:v>
                </c:pt>
                <c:pt idx="1">
                  <c:v>39</c:v>
                </c:pt>
                <c:pt idx="2">
                  <c:v>34</c:v>
                </c:pt>
                <c:pt idx="3">
                  <c:v>31</c:v>
                </c:pt>
                <c:pt idx="4">
                  <c:v>33</c:v>
                </c:pt>
                <c:pt idx="5">
                  <c:v>32</c:v>
                </c:pt>
                <c:pt idx="6">
                  <c:v>38</c:v>
                </c:pt>
                <c:pt idx="7">
                  <c:v>37</c:v>
                </c:pt>
                <c:pt idx="8">
                  <c:v>37</c:v>
                </c:pt>
                <c:pt idx="9">
                  <c:v>38</c:v>
                </c:pt>
                <c:pt idx="10">
                  <c:v>34</c:v>
                </c:pt>
                <c:pt idx="1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4-4740-B0DA-7D3FEA04D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22266415"/>
        <c:axId val="622268127"/>
      </c:barChart>
      <c:catAx>
        <c:axId val="62226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ppleGothic" pitchFamily="2" charset="-127"/>
                <a:ea typeface="+mn-ea"/>
                <a:cs typeface="+mn-cs"/>
              </a:defRPr>
            </a:pPr>
            <a:endParaRPr lang="en-US"/>
          </a:p>
        </c:txPr>
        <c:crossAx val="622268127"/>
        <c:crosses val="autoZero"/>
        <c:auto val="1"/>
        <c:lblAlgn val="ctr"/>
        <c:lblOffset val="100"/>
        <c:noMultiLvlLbl val="0"/>
      </c:catAx>
      <c:valAx>
        <c:axId val="6222681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cap="all" baseline="0">
                    <a:solidFill>
                      <a:schemeClr val="tx1"/>
                    </a:solidFill>
                    <a:latin typeface="AppleGothic" pitchFamily="2" charset="-127"/>
                    <a:ea typeface="+mn-ea"/>
                    <a:cs typeface="+mn-cs"/>
                  </a:defRPr>
                </a:pPr>
                <a:r>
                  <a:rPr lang="en-US" sz="1500" b="1" i="0" baseline="0">
                    <a:solidFill>
                      <a:schemeClr val="tx1"/>
                    </a:solidFill>
                    <a:latin typeface="AppleGothic" pitchFamily="2" charset="-127"/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cap="all" baseline="0">
                  <a:solidFill>
                    <a:schemeClr val="tx1"/>
                  </a:solidFill>
                  <a:latin typeface="AppleGothic" pitchFamily="2" charset="-127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AppleGothic" pitchFamily="2" charset="-127"/>
                <a:ea typeface="+mn-ea"/>
                <a:cs typeface="+mn-cs"/>
              </a:defRPr>
            </a:pPr>
            <a:endParaRPr lang="en-US"/>
          </a:p>
        </c:txPr>
        <c:crossAx val="62226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AppleGothic" pitchFamily="2" charset="-12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  <a:latin typeface="Lucida Bright" panose="02040602050505020304" pitchFamily="18" charset="77"/>
              </a:rPr>
              <a:t>T-statistics (Del)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AF7C-AC4C-8F2E-FF38EE1FC01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F7C-AC4C-8F2E-FF38EE1FC01B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F7C-AC4C-8F2E-FF38EE1FC01B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AF7C-AC4C-8F2E-FF38EE1FC01B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AF7C-AC4C-8F2E-FF38EE1FC01B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AF7C-AC4C-8F2E-FF38EE1FC01B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AF7C-AC4C-8F2E-FF38EE1FC01B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AF7C-AC4C-8F2E-FF38EE1FC01B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AF7C-AC4C-8F2E-FF38EE1FC01B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AF7C-AC4C-8F2E-FF38EE1FC01B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AF7C-AC4C-8F2E-FF38EE1FC01B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AF7C-AC4C-8F2E-FF38EE1FC01B}"/>
              </c:ext>
            </c:extLst>
          </c:dPt>
          <c:cat>
            <c:strRef>
              <c:f>'t-stat'!$A$1:$A$12</c:f>
              <c:strCache>
                <c:ptCount val="12"/>
                <c:pt idx="0">
                  <c:v>s4cc-dm</c:v>
                </c:pt>
                <c:pt idx="1">
                  <c:v>s2sc-cc</c:v>
                </c:pt>
                <c:pt idx="2">
                  <c:v>s2sc-dm</c:v>
                </c:pt>
                <c:pt idx="3">
                  <c:v>s4sc-cc</c:v>
                </c:pt>
                <c:pt idx="4">
                  <c:v>s4sc-dm</c:v>
                </c:pt>
                <c:pt idx="5">
                  <c:v>s3cc-dm</c:v>
                </c:pt>
                <c:pt idx="6">
                  <c:v>s2cc-dm</c:v>
                </c:pt>
                <c:pt idx="7">
                  <c:v>s1sc-cc</c:v>
                </c:pt>
                <c:pt idx="8">
                  <c:v>s1cc-dm</c:v>
                </c:pt>
                <c:pt idx="9">
                  <c:v>s3sc-dm</c:v>
                </c:pt>
                <c:pt idx="10">
                  <c:v>s3sc-cc</c:v>
                </c:pt>
                <c:pt idx="11">
                  <c:v>s1sc-dm</c:v>
                </c:pt>
              </c:strCache>
            </c:strRef>
          </c:cat>
          <c:val>
            <c:numRef>
              <c:f>'t-stat'!$B$1:$B$12</c:f>
              <c:numCache>
                <c:formatCode>General</c:formatCode>
                <c:ptCount val="12"/>
                <c:pt idx="0">
                  <c:v>2.0610223495219899</c:v>
                </c:pt>
                <c:pt idx="1">
                  <c:v>1.9421114609961101</c:v>
                </c:pt>
                <c:pt idx="2">
                  <c:v>1.88295900473744</c:v>
                </c:pt>
                <c:pt idx="3">
                  <c:v>1.74275330589605</c:v>
                </c:pt>
                <c:pt idx="4">
                  <c:v>1.4927054245259199</c:v>
                </c:pt>
                <c:pt idx="5">
                  <c:v>1.4539054444084401</c:v>
                </c:pt>
                <c:pt idx="6">
                  <c:v>1.35764849934387</c:v>
                </c:pt>
                <c:pt idx="7">
                  <c:v>1.3079966683511799</c:v>
                </c:pt>
                <c:pt idx="8">
                  <c:v>1.2703133586772399</c:v>
                </c:pt>
                <c:pt idx="9">
                  <c:v>1.1798035137135401</c:v>
                </c:pt>
                <c:pt idx="10">
                  <c:v>1.1177360782304799</c:v>
                </c:pt>
                <c:pt idx="11">
                  <c:v>1.0128011345085901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C-7649-BDF4-1977C0C23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gapDepth val="0"/>
        <c:shape val="box"/>
        <c:axId val="1699182128"/>
        <c:axId val="1699502576"/>
        <c:axId val="0"/>
      </c:bar3DChart>
      <c:catAx>
        <c:axId val="1699182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  <a:latin typeface="Lucida Bright" panose="02040602050505020304" pitchFamily="18" charset="77"/>
                  </a:rPr>
                  <a:t>Connectivity features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Lucida Bright" panose="02040602050505020304" pitchFamily="18" charset="77"/>
                <a:ea typeface="+mn-ea"/>
                <a:cs typeface="+mn-cs"/>
              </a:defRPr>
            </a:pPr>
            <a:endParaRPr lang="en-US"/>
          </a:p>
        </c:txPr>
        <c:crossAx val="1699502576"/>
        <c:crosses val="autoZero"/>
        <c:auto val="1"/>
        <c:lblAlgn val="ctr"/>
        <c:lblOffset val="100"/>
        <c:noMultiLvlLbl val="0"/>
      </c:catAx>
      <c:valAx>
        <c:axId val="1699502576"/>
        <c:scaling>
          <c:orientation val="minMax"/>
          <c:max val="2.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Lucida Bright" panose="02040602050505020304" pitchFamily="18" charset="77"/>
                <a:ea typeface="+mn-ea"/>
                <a:cs typeface="+mn-cs"/>
              </a:defRPr>
            </a:pPr>
            <a:endParaRPr lang="en-US"/>
          </a:p>
        </c:txPr>
        <c:crossAx val="1699182128"/>
        <c:crosses val="autoZero"/>
        <c:crossBetween val="between"/>
        <c:majorUnit val="0.06"/>
        <c:minorUnit val="0.0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435243</xdr:colOff>
      <xdr:row>1</xdr:row>
      <xdr:rowOff>43049</xdr:rowOff>
    </xdr:from>
    <xdr:to>
      <xdr:col>22</xdr:col>
      <xdr:colOff>247542</xdr:colOff>
      <xdr:row>36</xdr:row>
      <xdr:rowOff>86102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040132E-882D-BF9D-3916-BA2C30877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1</xdr:row>
      <xdr:rowOff>120650</xdr:rowOff>
    </xdr:from>
    <xdr:to>
      <xdr:col>15</xdr:col>
      <xdr:colOff>800100</xdr:colOff>
      <xdr:row>42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5E847-4D13-81AD-CAD7-5DBB246C0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D1894A-FB1B-644A-B986-4D6C601E9A70}">
  <we:reference id="wa200002503" version="1.0.0.0" store="en-US" storeType="OMEX"/>
  <we:alternateReferences>
    <we:reference id="wa200002503" version="1.0.0.0" store="wa20000250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B69A-5C84-6646-BFC7-20BAA9ECA88A}">
  <dimension ref="A1:Q90"/>
  <sheetViews>
    <sheetView zoomScale="118" workbookViewId="0">
      <selection sqref="A1:L83"/>
    </sheetView>
  </sheetViews>
  <sheetFormatPr baseColWidth="10" defaultRowHeight="16" x14ac:dyDescent="0.2"/>
  <cols>
    <col min="9" max="9" width="10.83203125" style="5"/>
  </cols>
  <sheetData>
    <row r="1" spans="1:17" x14ac:dyDescent="0.2">
      <c r="A1" s="1">
        <v>8.6908845013473606E-3</v>
      </c>
      <c r="B1" s="1">
        <v>-1.8796808265708601E-4</v>
      </c>
      <c r="C1" s="1">
        <v>2.1249722544089901E-3</v>
      </c>
      <c r="D1" s="1">
        <v>-1.40642642777633E-2</v>
      </c>
      <c r="E1" s="1">
        <v>9.0974614320542494E-3</v>
      </c>
      <c r="F1" s="1">
        <v>-1.5466701683527E-2</v>
      </c>
      <c r="G1" s="1">
        <v>1.04968344548925E-2</v>
      </c>
      <c r="H1" s="1">
        <v>1.26159426386991E-2</v>
      </c>
      <c r="I1" s="1">
        <v>1.2847550675689099E-2</v>
      </c>
      <c r="J1" s="1">
        <v>3.54785830188186E-2</v>
      </c>
      <c r="K1" s="1">
        <v>2.2520423129019002E-2</v>
      </c>
      <c r="L1" s="1">
        <v>4.2555076825754698E-2</v>
      </c>
      <c r="M1" s="2"/>
      <c r="N1" s="2"/>
      <c r="O1" s="2"/>
      <c r="P1" s="2"/>
      <c r="Q1" s="2"/>
    </row>
    <row r="2" spans="1:17" x14ac:dyDescent="0.2">
      <c r="A2" s="1">
        <v>-2.3790865228772102E-3</v>
      </c>
      <c r="B2" s="3">
        <v>-3.3271430809973502E-3</v>
      </c>
      <c r="C2" s="3">
        <v>-1.6024813577875099E-3</v>
      </c>
      <c r="D2" s="3">
        <v>3.4467824852482099E-3</v>
      </c>
      <c r="E2" s="3">
        <v>-4.4975092430023997E-3</v>
      </c>
      <c r="F2" s="3">
        <v>-7.5394620685946797E-3</v>
      </c>
      <c r="G2" s="3">
        <v>-2.1841890474014699E-3</v>
      </c>
      <c r="H2" s="3">
        <v>-5.6855326626532501E-3</v>
      </c>
      <c r="I2" s="3">
        <v>-9.6992883650273108E-3</v>
      </c>
      <c r="J2" s="3">
        <v>-1.42514883757718E-2</v>
      </c>
      <c r="K2" s="3">
        <v>-1.2231568170525601E-2</v>
      </c>
      <c r="L2" s="3">
        <v>-9.9591186476504206E-3</v>
      </c>
      <c r="M2" s="2"/>
      <c r="N2" s="2"/>
      <c r="O2" s="2"/>
      <c r="P2" s="2"/>
      <c r="Q2" s="2"/>
    </row>
    <row r="3" spans="1:17" x14ac:dyDescent="0.2">
      <c r="A3" s="1">
        <v>-9.8190094313295104E-3</v>
      </c>
      <c r="B3" s="3">
        <v>-3.3986470638387401E-3</v>
      </c>
      <c r="C3" s="3">
        <v>-3.2078353376039301E-3</v>
      </c>
      <c r="D3" s="3">
        <v>-9.9779588290473901E-3</v>
      </c>
      <c r="E3" s="3">
        <v>-3.6173298678665502E-4</v>
      </c>
      <c r="F3" s="3">
        <v>-6.8643635123310999E-4</v>
      </c>
      <c r="G3" s="3">
        <v>-6.3056576653366296E-3</v>
      </c>
      <c r="H3" s="3">
        <v>-6.0698675762980098E-3</v>
      </c>
      <c r="I3" s="3">
        <v>-4.6277254963262796E-3</v>
      </c>
      <c r="J3" s="3">
        <v>2.8525912221444202E-4</v>
      </c>
      <c r="K3" s="3">
        <v>-1.03468628666536E-2</v>
      </c>
      <c r="L3" s="3">
        <v>-3.6739712870443799E-3</v>
      </c>
      <c r="M3" s="2"/>
      <c r="N3" s="2"/>
      <c r="O3" s="2"/>
      <c r="P3" s="2"/>
      <c r="Q3" s="2"/>
    </row>
    <row r="4" spans="1:17" x14ac:dyDescent="0.2">
      <c r="A4" s="1">
        <v>-2.8861247638020299E-2</v>
      </c>
      <c r="B4" s="3">
        <v>-2.1943605951328399E-2</v>
      </c>
      <c r="C4" s="3">
        <v>-3.1525426920853299E-2</v>
      </c>
      <c r="D4" s="3">
        <v>-1.07688365298379E-2</v>
      </c>
      <c r="E4" s="3">
        <v>-1.72388899037914E-2</v>
      </c>
      <c r="F4" s="3">
        <v>-1.6840605137967202E-2</v>
      </c>
      <c r="G4" s="3">
        <v>-1.23339856562487E-2</v>
      </c>
      <c r="H4" s="3">
        <v>1.1256633494742801E-3</v>
      </c>
      <c r="I4" s="3">
        <v>-2.0916973309432702E-3</v>
      </c>
      <c r="J4" s="3">
        <v>1.1903494786644901E-2</v>
      </c>
      <c r="K4" s="3">
        <v>-1.4420456108958001E-2</v>
      </c>
      <c r="L4" s="3">
        <v>-5.9029138530399799E-3</v>
      </c>
      <c r="M4" s="2"/>
      <c r="N4" s="2"/>
      <c r="O4" s="2"/>
      <c r="P4" s="2"/>
      <c r="Q4" s="2"/>
    </row>
    <row r="5" spans="1:17" x14ac:dyDescent="0.2">
      <c r="A5" s="1">
        <v>1.1973074010287001E-2</v>
      </c>
      <c r="B5" s="3">
        <v>2.0188641701188699E-3</v>
      </c>
      <c r="C5" s="3">
        <v>-1.0856293925723201E-2</v>
      </c>
      <c r="D5" s="3">
        <v>7.4704754373264796E-3</v>
      </c>
      <c r="E5" s="3">
        <v>4.5731061609934898E-3</v>
      </c>
      <c r="F5" s="3">
        <v>6.4811557732153899E-3</v>
      </c>
      <c r="G5" s="4">
        <v>4.02175913816194E-5</v>
      </c>
      <c r="H5" s="3">
        <v>-6.5242845778379301E-4</v>
      </c>
      <c r="I5" s="3">
        <v>1.10850289211121E-2</v>
      </c>
      <c r="J5" s="3">
        <v>1.9682974368002398E-2</v>
      </c>
      <c r="K5" s="3">
        <v>2.3454359002339699E-2</v>
      </c>
      <c r="L5" s="3">
        <v>-1.6345857775039701E-3</v>
      </c>
      <c r="M5" s="2"/>
      <c r="N5" s="2"/>
      <c r="O5" s="2"/>
      <c r="P5" s="2"/>
      <c r="Q5" s="2"/>
    </row>
    <row r="6" spans="1:17" x14ac:dyDescent="0.2">
      <c r="A6" s="1">
        <v>3.28373991506425E-3</v>
      </c>
      <c r="B6" s="3">
        <v>6.0663356760954903E-3</v>
      </c>
      <c r="C6" s="3">
        <v>1.06836765129991E-3</v>
      </c>
      <c r="D6" s="3">
        <v>1.4803295044746499E-2</v>
      </c>
      <c r="E6" s="3">
        <v>-8.2086964421355102E-3</v>
      </c>
      <c r="F6" s="3">
        <v>1.5492188253787899E-2</v>
      </c>
      <c r="G6" s="3">
        <v>1.1531048303112299E-2</v>
      </c>
      <c r="H6" s="3">
        <v>6.2297117715219797E-3</v>
      </c>
      <c r="I6" s="3">
        <v>5.6440084873887698E-3</v>
      </c>
      <c r="J6" s="3">
        <v>-1.2724497085085901E-3</v>
      </c>
      <c r="K6" s="3">
        <v>1.6387174178087399E-3</v>
      </c>
      <c r="L6" s="3">
        <v>-1.22432555000617E-2</v>
      </c>
      <c r="M6" s="2"/>
      <c r="N6" s="2"/>
      <c r="O6" s="2"/>
      <c r="P6" s="2"/>
      <c r="Q6" s="2"/>
    </row>
    <row r="7" spans="1:17" x14ac:dyDescent="0.2">
      <c r="A7" s="1">
        <v>1.98787882063578E-3</v>
      </c>
      <c r="B7" s="3">
        <v>2.7131227722421099E-4</v>
      </c>
      <c r="C7" s="3">
        <v>6.4541950410323902E-4</v>
      </c>
      <c r="D7" s="3">
        <v>2.31785367980141E-3</v>
      </c>
      <c r="E7" s="3">
        <v>-2.8925875702971999E-3</v>
      </c>
      <c r="F7" s="4">
        <v>2.4400377206745799E-5</v>
      </c>
      <c r="G7" s="3">
        <v>-7.3590925556938896E-3</v>
      </c>
      <c r="H7" s="3">
        <v>-7.8068961305548497E-3</v>
      </c>
      <c r="I7" s="3">
        <v>-5.3728295676567202E-3</v>
      </c>
      <c r="J7" s="3">
        <v>-6.9340198159926203E-3</v>
      </c>
      <c r="K7" s="3">
        <v>-7.8373366717678899E-3</v>
      </c>
      <c r="L7" s="3">
        <v>-7.1459066713550597E-3</v>
      </c>
      <c r="M7" s="2"/>
      <c r="N7" s="2"/>
      <c r="O7" s="2"/>
      <c r="P7" s="2"/>
      <c r="Q7" s="2"/>
    </row>
    <row r="8" spans="1:17" x14ac:dyDescent="0.2">
      <c r="A8" s="1">
        <v>2.43240293250468E-3</v>
      </c>
      <c r="B8" s="3">
        <v>-1.1454786224321899E-2</v>
      </c>
      <c r="C8" s="3">
        <v>2.5641872717149398E-2</v>
      </c>
      <c r="D8" s="3">
        <v>-1.21331182985628E-3</v>
      </c>
      <c r="E8" s="3">
        <v>2.6595855418978199E-3</v>
      </c>
      <c r="F8" s="3">
        <v>-4.2611820380295999E-3</v>
      </c>
      <c r="G8" s="3">
        <v>2.3385587184057101E-3</v>
      </c>
      <c r="H8" s="3">
        <v>4.9364337093305002E-3</v>
      </c>
      <c r="I8" s="3">
        <v>-1.0342652091619401E-3</v>
      </c>
      <c r="J8" s="3">
        <v>-1.61105764590143E-2</v>
      </c>
      <c r="K8" s="3">
        <v>-6.3587495775056999E-3</v>
      </c>
      <c r="L8" s="3">
        <v>-1.22729807941839E-2</v>
      </c>
      <c r="M8" s="2"/>
      <c r="N8" s="2"/>
      <c r="O8" s="2"/>
      <c r="P8" s="2"/>
      <c r="Q8" s="2"/>
    </row>
    <row r="9" spans="1:17" x14ac:dyDescent="0.2">
      <c r="A9" s="1">
        <v>-2.8623309822886901E-2</v>
      </c>
      <c r="B9" s="3">
        <v>4.28038911997408E-3</v>
      </c>
      <c r="C9" s="3">
        <v>-4.2203719440621498E-2</v>
      </c>
      <c r="D9" s="3">
        <v>-2.1408656516510301E-2</v>
      </c>
      <c r="E9" s="3">
        <v>-1.8118474189883799E-2</v>
      </c>
      <c r="F9" s="3">
        <v>-2.2196632502982299E-2</v>
      </c>
      <c r="G9" s="3">
        <v>-2.8531203681605E-2</v>
      </c>
      <c r="H9" s="3">
        <v>-2.69543885060405E-2</v>
      </c>
      <c r="I9" s="3">
        <v>-3.2716543877010701E-2</v>
      </c>
      <c r="J9" s="3">
        <v>-1.8618962723617901E-2</v>
      </c>
      <c r="K9" s="3">
        <v>-2.3701707814369501E-2</v>
      </c>
      <c r="L9" s="3">
        <v>-1.4280017019074401E-2</v>
      </c>
      <c r="M9" s="2"/>
      <c r="N9" s="2"/>
      <c r="O9" s="2"/>
      <c r="P9" s="2"/>
      <c r="Q9" s="2"/>
    </row>
    <row r="10" spans="1:17" x14ac:dyDescent="0.2">
      <c r="A10" s="1">
        <v>1.45272435518573E-2</v>
      </c>
      <c r="B10" s="3">
        <v>1.1764832977064699E-2</v>
      </c>
      <c r="C10" s="3">
        <v>2.90845581538061E-2</v>
      </c>
      <c r="D10" s="3">
        <v>1.51560467663864E-2</v>
      </c>
      <c r="E10" s="3">
        <v>1.40590452573556E-2</v>
      </c>
      <c r="F10" s="3">
        <v>1.6781288970433499E-2</v>
      </c>
      <c r="G10" s="3">
        <v>1.4500139591167201E-2</v>
      </c>
      <c r="H10" s="3">
        <v>-8.2505179908336501E-3</v>
      </c>
      <c r="I10" s="3">
        <v>1.6727380373712401E-2</v>
      </c>
      <c r="J10" s="3">
        <v>6.0977202917644703E-3</v>
      </c>
      <c r="K10" s="3">
        <v>7.3297629114465997E-3</v>
      </c>
      <c r="L10" s="3">
        <v>1.66857552883499E-2</v>
      </c>
      <c r="M10" s="2"/>
      <c r="N10" s="2"/>
      <c r="O10" s="2"/>
      <c r="P10" s="2"/>
      <c r="Q10" s="2"/>
    </row>
    <row r="11" spans="1:17" x14ac:dyDescent="0.2">
      <c r="A11" s="1">
        <v>1.9112880863356701E-3</v>
      </c>
      <c r="B11" s="3">
        <v>-3.7908096146248502E-3</v>
      </c>
      <c r="C11" s="3">
        <v>1.9027230271360101E-3</v>
      </c>
      <c r="D11" s="3">
        <v>2.4246175714057699E-3</v>
      </c>
      <c r="E11" s="3">
        <v>6.6343327041911097E-3</v>
      </c>
      <c r="F11" s="3">
        <v>9.5942271353128793E-3</v>
      </c>
      <c r="G11" s="3">
        <v>-4.3992052384009802E-3</v>
      </c>
      <c r="H11" s="3">
        <v>1.5413540980264699E-2</v>
      </c>
      <c r="I11" s="3">
        <v>-9.2279729733395401E-3</v>
      </c>
      <c r="J11" s="3">
        <v>3.1212604485348901E-3</v>
      </c>
      <c r="K11" s="3">
        <v>6.3553857701776897E-3</v>
      </c>
      <c r="L11" s="3">
        <v>1.3221520077734099E-2</v>
      </c>
      <c r="M11" s="2"/>
      <c r="N11" s="2"/>
      <c r="O11" s="2"/>
      <c r="P11" s="2"/>
      <c r="Q11" s="2"/>
    </row>
    <row r="12" spans="1:17" x14ac:dyDescent="0.2">
      <c r="A12" s="1">
        <v>4.2298832640161798E-3</v>
      </c>
      <c r="B12" s="3">
        <v>6.2684907798253803E-3</v>
      </c>
      <c r="C12" s="3">
        <v>1.0499847428223999E-2</v>
      </c>
      <c r="D12" s="3">
        <v>1.05854314786739E-2</v>
      </c>
      <c r="E12" s="3">
        <v>1.24408944858949E-2</v>
      </c>
      <c r="F12" s="3">
        <v>1.0513527929134599E-3</v>
      </c>
      <c r="G12" s="3">
        <v>1.20970292914988E-2</v>
      </c>
      <c r="H12" s="3">
        <v>2.2534379556349202E-3</v>
      </c>
      <c r="I12" s="3">
        <v>1.7534466866016601E-2</v>
      </c>
      <c r="J12" s="3">
        <v>3.9250910793004997E-3</v>
      </c>
      <c r="K12" s="3">
        <v>2.3058702865512699E-3</v>
      </c>
      <c r="L12" s="3">
        <v>-6.2257869778983201E-3</v>
      </c>
      <c r="M12" s="2"/>
      <c r="N12" s="2"/>
      <c r="O12" s="2"/>
      <c r="P12" s="2"/>
      <c r="Q12" s="2"/>
    </row>
    <row r="13" spans="1:17" x14ac:dyDescent="0.2">
      <c r="A13" s="1">
        <v>2.53293449245384E-3</v>
      </c>
      <c r="B13" s="3">
        <v>8.8947566625459107E-3</v>
      </c>
      <c r="C13" s="3">
        <v>2.8261600000161199E-2</v>
      </c>
      <c r="D13" s="3">
        <v>3.145819143751E-3</v>
      </c>
      <c r="E13" s="3">
        <v>1.08082428877462E-2</v>
      </c>
      <c r="F13" s="3">
        <v>7.37872464392186E-3</v>
      </c>
      <c r="G13" s="3">
        <v>5.9175252947589697E-3</v>
      </c>
      <c r="H13" s="3">
        <v>5.3280297356810202E-3</v>
      </c>
      <c r="I13" s="3">
        <v>-3.76164528192446E-3</v>
      </c>
      <c r="J13" s="3">
        <v>-3.72581539130023E-3</v>
      </c>
      <c r="K13" s="3">
        <v>-6.4829650256363804E-3</v>
      </c>
      <c r="L13" s="3">
        <v>-1.0794985990688601E-2</v>
      </c>
      <c r="M13" s="2"/>
      <c r="N13" s="2"/>
      <c r="O13" s="2"/>
      <c r="P13" s="2"/>
      <c r="Q13" s="2"/>
    </row>
    <row r="14" spans="1:17" x14ac:dyDescent="0.2">
      <c r="A14" s="1">
        <v>1.8982532268093801E-2</v>
      </c>
      <c r="B14" s="3">
        <v>1.6322580100533501E-2</v>
      </c>
      <c r="C14" s="3">
        <v>1.41824620930186E-2</v>
      </c>
      <c r="D14" s="3">
        <v>5.7469071543465502E-3</v>
      </c>
      <c r="E14" s="3">
        <v>2.8814693872945399E-2</v>
      </c>
      <c r="F14" s="3">
        <v>1.27218963642627E-2</v>
      </c>
      <c r="G14" s="3">
        <v>1.00468967720299E-2</v>
      </c>
      <c r="H14" s="3">
        <v>1.1958697924860699E-2</v>
      </c>
      <c r="I14" s="3">
        <v>2.7038928262466701E-2</v>
      </c>
      <c r="J14" s="3">
        <v>1.85642088252508E-2</v>
      </c>
      <c r="K14" s="3">
        <v>1.12308021991065E-2</v>
      </c>
      <c r="L14" s="3">
        <v>2.2509233297886001E-2</v>
      </c>
      <c r="M14" s="2"/>
      <c r="N14" s="2"/>
      <c r="O14" s="2"/>
      <c r="P14" s="2"/>
      <c r="Q14" s="2"/>
    </row>
    <row r="15" spans="1:17" x14ac:dyDescent="0.2">
      <c r="A15" s="1">
        <v>-1.5723593772748401E-2</v>
      </c>
      <c r="B15" s="3">
        <v>-1.01691489657305E-2</v>
      </c>
      <c r="C15" s="3">
        <v>-3.4090516914693199E-3</v>
      </c>
      <c r="D15" s="3">
        <v>-1.23574975711067E-2</v>
      </c>
      <c r="E15" s="3">
        <v>-2.5133667023614401E-2</v>
      </c>
      <c r="F15" s="3">
        <v>7.3502345527558504E-3</v>
      </c>
      <c r="G15" s="3">
        <v>-8.8040974138514604E-3</v>
      </c>
      <c r="H15" s="3">
        <v>-2.5779028775545498E-3</v>
      </c>
      <c r="I15" s="3">
        <v>-4.21161984856865E-3</v>
      </c>
      <c r="J15" s="3">
        <v>-5.72628616329384E-3</v>
      </c>
      <c r="K15" s="3">
        <v>-1.22441364358438E-2</v>
      </c>
      <c r="L15" s="3">
        <v>-1.47628040715619E-3</v>
      </c>
      <c r="M15" s="2"/>
      <c r="N15" s="2"/>
      <c r="O15" s="2"/>
      <c r="P15" s="2"/>
      <c r="Q15" s="2"/>
    </row>
    <row r="16" spans="1:17" x14ac:dyDescent="0.2">
      <c r="A16" s="1">
        <v>-2.5011960358924001E-2</v>
      </c>
      <c r="B16" s="3">
        <v>-5.0341356629390203E-2</v>
      </c>
      <c r="C16" s="3">
        <v>-3.9805119478653901E-2</v>
      </c>
      <c r="D16" s="3">
        <v>-3.4362391765658501E-2</v>
      </c>
      <c r="E16" s="3">
        <v>-2.06235687117199E-2</v>
      </c>
      <c r="F16" s="3">
        <v>-1.0529419029030099E-2</v>
      </c>
      <c r="G16" s="3">
        <v>-1.4748853034767201E-3</v>
      </c>
      <c r="H16" s="3">
        <v>-1.77294334985411E-2</v>
      </c>
      <c r="I16" s="3">
        <v>1.9458711185889E-3</v>
      </c>
      <c r="J16" s="3">
        <v>-3.6890651404114898E-2</v>
      </c>
      <c r="K16" s="3">
        <v>2.4048426163494302E-3</v>
      </c>
      <c r="L16" s="3">
        <v>-3.6000950301023897E-2</v>
      </c>
      <c r="M16" s="2"/>
      <c r="N16" s="2"/>
      <c r="O16" s="2"/>
      <c r="P16" s="2"/>
      <c r="Q16" s="2"/>
    </row>
    <row r="17" spans="1:17" x14ac:dyDescent="0.2">
      <c r="A17" s="1">
        <v>-8.4171736401790192E-3</v>
      </c>
      <c r="B17" s="3">
        <v>-1.23439220786039E-2</v>
      </c>
      <c r="C17" s="3">
        <v>-2.1565195966539701E-3</v>
      </c>
      <c r="D17" s="3">
        <v>-2.0215154320393201E-2</v>
      </c>
      <c r="E17" s="3">
        <v>5.9383853996770597E-3</v>
      </c>
      <c r="F17" s="3">
        <v>-3.2359769995089398E-3</v>
      </c>
      <c r="G17" s="3">
        <v>1.24461447487496E-2</v>
      </c>
      <c r="H17" s="3">
        <v>4.92408595703541E-3</v>
      </c>
      <c r="I17" s="3">
        <v>-1.11553020428867E-3</v>
      </c>
      <c r="J17" s="3">
        <v>8.9819340545684804E-3</v>
      </c>
      <c r="K17" s="3">
        <v>2.4733157899987598E-3</v>
      </c>
      <c r="L17" s="3">
        <v>8.0940355878091896E-3</v>
      </c>
      <c r="M17" s="2"/>
      <c r="N17" s="2"/>
      <c r="O17" s="2"/>
      <c r="P17" s="2"/>
      <c r="Q17" s="2"/>
    </row>
    <row r="18" spans="1:17" x14ac:dyDescent="0.2">
      <c r="A18" s="1">
        <v>2.13809972824574E-2</v>
      </c>
      <c r="B18" s="3">
        <v>1.9472643517098799E-2</v>
      </c>
      <c r="C18" s="3">
        <v>4.4276007841334002E-2</v>
      </c>
      <c r="D18" s="3">
        <v>-8.2975384810850504E-3</v>
      </c>
      <c r="E18" s="3">
        <v>3.3837804768667101E-2</v>
      </c>
      <c r="F18" s="3">
        <v>3.1293928475339003E-2</v>
      </c>
      <c r="G18" s="3">
        <v>2.4001138132711802E-2</v>
      </c>
      <c r="H18" s="3">
        <v>3.28946384177932E-2</v>
      </c>
      <c r="I18" s="3">
        <v>1.70663230094696E-2</v>
      </c>
      <c r="J18" s="3">
        <v>2.45253658023614E-2</v>
      </c>
      <c r="K18" s="3">
        <v>2.8712140122425501E-2</v>
      </c>
      <c r="L18" s="3">
        <v>3.1526411109825903E-2</v>
      </c>
      <c r="M18" s="2"/>
      <c r="N18" s="2"/>
      <c r="O18" s="2"/>
      <c r="P18" s="2"/>
      <c r="Q18" s="2"/>
    </row>
    <row r="19" spans="1:17" x14ac:dyDescent="0.2">
      <c r="A19" s="1">
        <v>-4.8637768655721498E-3</v>
      </c>
      <c r="B19" s="3">
        <v>-2.3307999226689999E-2</v>
      </c>
      <c r="C19" s="3">
        <v>-8.1098214359629495E-3</v>
      </c>
      <c r="D19" s="3">
        <v>-1.47626953762278E-2</v>
      </c>
      <c r="E19" s="3">
        <v>2.2248205634779399E-2</v>
      </c>
      <c r="F19" s="3">
        <v>-3.1934301900738898E-2</v>
      </c>
      <c r="G19" s="3">
        <v>1.62882817228116E-3</v>
      </c>
      <c r="H19" s="3">
        <v>-1.6438291656510399E-2</v>
      </c>
      <c r="I19" s="3">
        <v>-1.61277567694573E-3</v>
      </c>
      <c r="J19" s="3">
        <v>2.7285476290979101E-3</v>
      </c>
      <c r="K19" s="3">
        <v>-3.07161711147063E-3</v>
      </c>
      <c r="L19" s="3">
        <v>6.3580337103479297E-3</v>
      </c>
      <c r="M19" s="2"/>
      <c r="N19" s="2"/>
      <c r="O19" s="2"/>
      <c r="P19" s="2"/>
      <c r="Q19" s="2"/>
    </row>
    <row r="20" spans="1:17" x14ac:dyDescent="0.2">
      <c r="A20" s="1">
        <v>3.20525602582577E-3</v>
      </c>
      <c r="B20" s="3">
        <v>1.48190609741609E-2</v>
      </c>
      <c r="C20" s="3">
        <v>1.31607124353847E-2</v>
      </c>
      <c r="D20" s="3">
        <v>2.6041736347981001E-2</v>
      </c>
      <c r="E20" s="3">
        <v>4.0329971525176998E-3</v>
      </c>
      <c r="F20" s="3">
        <v>2.14615390136654E-2</v>
      </c>
      <c r="G20" s="3">
        <v>1.20795380478098E-2</v>
      </c>
      <c r="H20" s="3">
        <v>2.2539542735922201E-2</v>
      </c>
      <c r="I20" s="3">
        <v>1.54659648021144E-2</v>
      </c>
      <c r="J20" s="3">
        <v>1.3375250121473E-2</v>
      </c>
      <c r="K20" s="3">
        <v>1.25160160922217E-2</v>
      </c>
      <c r="L20" s="3">
        <v>7.5961342980355104E-3</v>
      </c>
      <c r="M20" s="2"/>
      <c r="N20" s="2"/>
      <c r="O20" s="2"/>
      <c r="P20" s="2"/>
      <c r="Q20" s="2"/>
    </row>
    <row r="21" spans="1:17" x14ac:dyDescent="0.2">
      <c r="A21" s="1">
        <v>-1.28354171421052E-3</v>
      </c>
      <c r="B21" s="3">
        <v>-5.5647562974787601E-3</v>
      </c>
      <c r="C21" s="3">
        <v>1.7604778873579099E-2</v>
      </c>
      <c r="D21" s="3">
        <v>-1.2392243478909199E-2</v>
      </c>
      <c r="E21" s="3">
        <v>6.0606888386560698E-3</v>
      </c>
      <c r="F21" s="3">
        <v>-1.85659472615942E-2</v>
      </c>
      <c r="G21" s="3">
        <v>-1.04202542560383E-3</v>
      </c>
      <c r="H21" s="3">
        <v>-1.19992380270135E-2</v>
      </c>
      <c r="I21" s="3">
        <v>-3.9204032700279603E-3</v>
      </c>
      <c r="J21" s="3">
        <v>-1.5853743808021199E-2</v>
      </c>
      <c r="K21" s="3">
        <v>-1.40203301365435E-2</v>
      </c>
      <c r="L21" s="3">
        <v>-1.6343525961987002E-2</v>
      </c>
      <c r="M21" s="2"/>
      <c r="N21" s="2"/>
      <c r="O21" s="2"/>
      <c r="P21" s="2"/>
      <c r="Q21" s="2"/>
    </row>
    <row r="22" spans="1:17" x14ac:dyDescent="0.2">
      <c r="A22" s="1">
        <v>5.5223284942920101E-3</v>
      </c>
      <c r="B22" s="3">
        <v>5.1764498875011E-3</v>
      </c>
      <c r="C22" s="3">
        <v>5.6680266699318197E-3</v>
      </c>
      <c r="D22" s="3">
        <v>-8.1055624524195499E-3</v>
      </c>
      <c r="E22" s="3">
        <v>-1.7743092120331198E-2</v>
      </c>
      <c r="F22" s="3">
        <v>6.4182093145133097E-3</v>
      </c>
      <c r="G22" s="3">
        <v>-1.5003051699571101E-2</v>
      </c>
      <c r="H22" s="3">
        <v>-2.4265278013251498E-2</v>
      </c>
      <c r="I22" s="3">
        <v>-5.3919146577999302E-2</v>
      </c>
      <c r="J22" s="3">
        <v>-2.7473990840044302E-2</v>
      </c>
      <c r="K22" s="3">
        <v>-2.3229873156023598E-2</v>
      </c>
      <c r="L22" s="3">
        <v>-2.0369852546922598E-2</v>
      </c>
      <c r="M22" s="2"/>
      <c r="N22" s="2"/>
      <c r="O22" s="2"/>
      <c r="P22" s="2"/>
      <c r="Q22" s="2"/>
    </row>
    <row r="23" spans="1:17" x14ac:dyDescent="0.2">
      <c r="A23" s="1">
        <v>2.2680220721946701E-2</v>
      </c>
      <c r="B23" s="3">
        <v>-1.4831817765372699E-3</v>
      </c>
      <c r="C23" s="3">
        <v>-3.0278996783190599E-3</v>
      </c>
      <c r="D23" s="3">
        <v>5.4352908131789501E-3</v>
      </c>
      <c r="E23" s="3">
        <v>1.5528695070995999E-2</v>
      </c>
      <c r="F23" s="3">
        <v>7.5481878709773298E-3</v>
      </c>
      <c r="G23" s="3">
        <v>1.2353414610399801E-3</v>
      </c>
      <c r="H23" s="3">
        <v>2.1093481943346101E-3</v>
      </c>
      <c r="I23" s="3">
        <v>1.6096845286444499E-2</v>
      </c>
      <c r="J23" s="3">
        <v>-1.06752250742934E-2</v>
      </c>
      <c r="K23" s="3">
        <v>2.3838928632767299E-2</v>
      </c>
      <c r="L23" s="3">
        <v>6.4191263233119803E-3</v>
      </c>
      <c r="M23" s="2"/>
      <c r="N23" s="2"/>
      <c r="O23" s="2"/>
      <c r="P23" s="2"/>
      <c r="Q23" s="2"/>
    </row>
    <row r="24" spans="1:17" x14ac:dyDescent="0.2">
      <c r="A24" s="1">
        <v>1.61399992589761E-2</v>
      </c>
      <c r="B24" s="3">
        <v>8.0189172385947095E-4</v>
      </c>
      <c r="C24" s="3">
        <v>1.4572804670620099E-2</v>
      </c>
      <c r="D24" s="3">
        <v>9.0197257601536407E-3</v>
      </c>
      <c r="E24" s="3">
        <v>-4.15148721645119E-3</v>
      </c>
      <c r="F24" s="3">
        <v>7.1793914766990997E-3</v>
      </c>
      <c r="G24" s="3">
        <v>-1.31099397904133E-2</v>
      </c>
      <c r="H24" s="3">
        <v>1.97200958483476E-2</v>
      </c>
      <c r="I24" s="3">
        <v>-5.8127632294286899E-3</v>
      </c>
      <c r="J24" s="3">
        <v>1.44938857538541E-2</v>
      </c>
      <c r="K24" s="3">
        <v>6.1409860804488804E-3</v>
      </c>
      <c r="L24" s="3">
        <v>-4.4433833065671199E-4</v>
      </c>
      <c r="M24" s="2"/>
      <c r="N24" s="2"/>
      <c r="O24" s="2"/>
      <c r="P24" s="2"/>
      <c r="Q24" s="2"/>
    </row>
    <row r="25" spans="1:17" x14ac:dyDescent="0.2">
      <c r="A25" s="1">
        <v>7.7806162184557105E-4</v>
      </c>
      <c r="B25" s="3">
        <v>4.9957677429937003E-3</v>
      </c>
      <c r="C25" s="3">
        <v>1.6499559610290101E-3</v>
      </c>
      <c r="D25" s="3">
        <v>4.1247655477683002E-3</v>
      </c>
      <c r="E25" s="3">
        <v>2.7279058151181701E-3</v>
      </c>
      <c r="F25" s="3">
        <v>2.4992389228870502E-3</v>
      </c>
      <c r="G25" s="3">
        <v>2.2825032523439101E-3</v>
      </c>
      <c r="H25" s="3">
        <v>8.23818627115002E-4</v>
      </c>
      <c r="I25" s="3">
        <v>-4.1747803387637202E-4</v>
      </c>
      <c r="J25" s="3">
        <v>-3.72871203498914E-3</v>
      </c>
      <c r="K25" s="3">
        <v>-2.0414069519638601E-3</v>
      </c>
      <c r="L25" s="3">
        <v>1.7451801161794101E-3</v>
      </c>
      <c r="M25" s="2"/>
      <c r="N25" s="2"/>
      <c r="O25" s="2"/>
      <c r="P25" s="2"/>
      <c r="Q25" s="2"/>
    </row>
    <row r="26" spans="1:17" x14ac:dyDescent="0.2">
      <c r="A26" s="1">
        <v>1.04427784203193E-2</v>
      </c>
      <c r="B26" s="3">
        <v>1.9022682428638301E-2</v>
      </c>
      <c r="C26" s="3">
        <v>1.3644090527908E-2</v>
      </c>
      <c r="D26" s="3">
        <v>3.5101672668339502E-2</v>
      </c>
      <c r="E26" s="3">
        <v>2.2568629997690999E-2</v>
      </c>
      <c r="F26" s="3">
        <v>1.4766252380601299E-2</v>
      </c>
      <c r="G26" s="3">
        <v>1.59734550616661E-2</v>
      </c>
      <c r="H26" s="3">
        <v>9.6944909551159794E-3</v>
      </c>
      <c r="I26" s="3">
        <v>7.7413157270880203E-3</v>
      </c>
      <c r="J26" s="3">
        <v>8.5737265258189997E-3</v>
      </c>
      <c r="K26" s="3">
        <v>5.5936080734582099E-3</v>
      </c>
      <c r="L26" s="3">
        <v>-4.1601226724381404E-3</v>
      </c>
      <c r="M26" s="2"/>
      <c r="N26" s="2"/>
      <c r="O26" s="2"/>
      <c r="P26" s="2"/>
      <c r="Q26" s="2"/>
    </row>
    <row r="27" spans="1:17" x14ac:dyDescent="0.2">
      <c r="A27" s="1">
        <v>-1.39138515285666E-2</v>
      </c>
      <c r="B27" s="3">
        <v>-9.1051138410735907E-3</v>
      </c>
      <c r="C27" s="3">
        <v>-7.72866820613082E-3</v>
      </c>
      <c r="D27" s="3">
        <v>-1.3702186006995E-2</v>
      </c>
      <c r="E27" s="3">
        <v>-1.7942502385732001E-2</v>
      </c>
      <c r="F27" s="3">
        <v>-1.83058095662769E-2</v>
      </c>
      <c r="G27" s="3">
        <v>-2.63361017469592E-2</v>
      </c>
      <c r="H27" s="3">
        <v>-1.37738840363283E-2</v>
      </c>
      <c r="I27" s="3">
        <v>-3.1169889197126099E-2</v>
      </c>
      <c r="J27" s="3">
        <v>-4.5132966099572496E-3</v>
      </c>
      <c r="K27" s="3">
        <v>-2.08967485543727E-2</v>
      </c>
      <c r="L27" s="3">
        <v>5.1587128413856896E-3</v>
      </c>
      <c r="M27" s="2"/>
      <c r="N27" s="2"/>
      <c r="O27" s="2"/>
      <c r="P27" s="2"/>
      <c r="Q27" s="2"/>
    </row>
    <row r="28" spans="1:17" x14ac:dyDescent="0.2">
      <c r="A28" s="1">
        <v>-5.94719764491835E-3</v>
      </c>
      <c r="B28" s="3">
        <v>-1.72492989571715E-3</v>
      </c>
      <c r="C28" s="3">
        <v>3.4349895258107802E-3</v>
      </c>
      <c r="D28" s="3">
        <v>2.26504561775797E-3</v>
      </c>
      <c r="E28" s="3">
        <v>1.23000414723104E-2</v>
      </c>
      <c r="F28" s="3">
        <v>4.2668260931957303E-3</v>
      </c>
      <c r="G28" s="3">
        <v>-7.2620945132397799E-3</v>
      </c>
      <c r="H28" s="3">
        <v>1.1878576005766001E-2</v>
      </c>
      <c r="I28" s="3">
        <v>-2.6976402875880101E-3</v>
      </c>
      <c r="J28" s="3">
        <v>2.55088335244371E-2</v>
      </c>
      <c r="K28" s="3">
        <v>5.8877940151045296E-3</v>
      </c>
      <c r="L28" s="3">
        <v>1.59407712877674E-2</v>
      </c>
      <c r="M28" s="2"/>
      <c r="N28" s="2"/>
      <c r="O28" s="2"/>
      <c r="P28" s="2"/>
      <c r="Q28" s="2"/>
    </row>
    <row r="29" spans="1:17" x14ac:dyDescent="0.2">
      <c r="A29" s="1">
        <v>7.3214072002834004E-3</v>
      </c>
      <c r="B29" s="3">
        <v>-1.14528258375727E-2</v>
      </c>
      <c r="C29" s="3">
        <v>9.8083764419349892E-3</v>
      </c>
      <c r="D29" s="3">
        <v>2.2335772785906302E-3</v>
      </c>
      <c r="E29" s="3">
        <v>1.2629172498916899E-3</v>
      </c>
      <c r="F29" s="3">
        <v>1.1723745529472E-2</v>
      </c>
      <c r="G29" s="3">
        <v>6.2181830262124597E-3</v>
      </c>
      <c r="H29" s="3">
        <v>2.30629647643401E-2</v>
      </c>
      <c r="I29" s="3">
        <v>1.7282234566025E-3</v>
      </c>
      <c r="J29" s="3">
        <v>6.3733284455695901E-3</v>
      </c>
      <c r="K29" s="3">
        <v>1.43493285173725E-2</v>
      </c>
      <c r="L29" s="3">
        <v>6.11669579669449E-3</v>
      </c>
      <c r="M29" s="2"/>
      <c r="N29" s="2"/>
      <c r="O29" s="2"/>
      <c r="P29" s="2"/>
      <c r="Q29" s="2"/>
    </row>
    <row r="30" spans="1:17" x14ac:dyDescent="0.2">
      <c r="A30" s="1">
        <v>8.7842220363520893E-3</v>
      </c>
      <c r="B30" s="3">
        <v>3.2583171245068598E-3</v>
      </c>
      <c r="C30" s="3">
        <v>1.2586609751230599E-4</v>
      </c>
      <c r="D30" s="3">
        <v>2.5800465199441402E-3</v>
      </c>
      <c r="E30" s="3">
        <v>1.22669322412494E-3</v>
      </c>
      <c r="F30" s="3">
        <v>1.65765115157245E-2</v>
      </c>
      <c r="G30" s="3">
        <v>1.5088494364103601E-2</v>
      </c>
      <c r="H30" s="3">
        <v>2.0677107296487298E-3</v>
      </c>
      <c r="I30" s="3">
        <v>9.5578233530006999E-3</v>
      </c>
      <c r="J30" s="3">
        <v>1.6075604457259599E-3</v>
      </c>
      <c r="K30" s="3">
        <v>3.4633933455754302E-3</v>
      </c>
      <c r="L30" s="3">
        <v>1.5868319050407399E-2</v>
      </c>
      <c r="M30" s="2"/>
      <c r="N30" s="2"/>
      <c r="O30" s="2"/>
      <c r="P30" s="2"/>
      <c r="Q30" s="2"/>
    </row>
    <row r="31" spans="1:17" x14ac:dyDescent="0.2">
      <c r="A31" s="1">
        <v>-4.7192049581548101E-3</v>
      </c>
      <c r="B31" s="3">
        <v>2.8192562782108001E-2</v>
      </c>
      <c r="C31" s="3">
        <v>6.97601663307612E-3</v>
      </c>
      <c r="D31" s="3">
        <v>2.8133885227001599E-2</v>
      </c>
      <c r="E31" s="3">
        <v>1.4240836739681999E-2</v>
      </c>
      <c r="F31" s="3">
        <v>4.5617728953120301E-2</v>
      </c>
      <c r="G31" s="3">
        <v>1.76264032587845E-2</v>
      </c>
      <c r="H31" s="3">
        <v>2.42064575701306E-2</v>
      </c>
      <c r="I31" s="3">
        <v>2.2376883952095899E-2</v>
      </c>
      <c r="J31" s="3">
        <v>1.5178270516178E-2</v>
      </c>
      <c r="K31" s="3">
        <v>1.8980838934696799E-2</v>
      </c>
      <c r="L31" s="3">
        <v>7.5836760371368302E-3</v>
      </c>
      <c r="M31" s="2"/>
      <c r="N31" s="2"/>
      <c r="O31" s="2"/>
      <c r="P31" s="2"/>
      <c r="Q31" s="2"/>
    </row>
    <row r="32" spans="1:17" x14ac:dyDescent="0.2">
      <c r="A32" s="1">
        <v>2.1739677954703801E-2</v>
      </c>
      <c r="B32" s="3">
        <v>1.1943500976011301E-2</v>
      </c>
      <c r="C32" s="3">
        <v>7.9017337037698906E-3</v>
      </c>
      <c r="D32" s="3">
        <v>1.21250689886487E-3</v>
      </c>
      <c r="E32" s="3">
        <v>3.7685322411842699E-2</v>
      </c>
      <c r="F32" s="3">
        <v>3.33608971506116E-3</v>
      </c>
      <c r="G32" s="3">
        <v>1.33200113411593E-2</v>
      </c>
      <c r="H32" s="3">
        <v>1.1871497699141399E-2</v>
      </c>
      <c r="I32" s="3">
        <v>8.9026202673725408E-3</v>
      </c>
      <c r="J32" s="3">
        <v>2.3432349560957601E-2</v>
      </c>
      <c r="K32" s="3">
        <v>5.88619427200742E-3</v>
      </c>
      <c r="L32" s="3">
        <v>1.81460951070899E-2</v>
      </c>
      <c r="M32" s="2"/>
      <c r="N32" s="2"/>
      <c r="O32" s="2"/>
      <c r="P32" s="2"/>
      <c r="Q32" s="2"/>
    </row>
    <row r="33" spans="1:17" x14ac:dyDescent="0.2">
      <c r="A33" s="1">
        <v>-2.84822672974716E-3</v>
      </c>
      <c r="B33" s="3">
        <v>-1.16596986906174E-2</v>
      </c>
      <c r="C33" s="3">
        <v>-8.6688617712917804E-3</v>
      </c>
      <c r="D33" s="3">
        <v>3.3098787383492E-3</v>
      </c>
      <c r="E33" s="3">
        <v>-1.00949387988187E-2</v>
      </c>
      <c r="F33" s="3">
        <v>-4.3581801952958799E-3</v>
      </c>
      <c r="G33" s="3">
        <v>-1.7252354426855E-2</v>
      </c>
      <c r="H33" s="3">
        <v>4.9968260418251599E-3</v>
      </c>
      <c r="I33" s="3">
        <v>-1.9171607834902401E-2</v>
      </c>
      <c r="J33" s="3">
        <v>-4.5109006495318502E-3</v>
      </c>
      <c r="K33" s="3">
        <v>-1.15790763366749E-2</v>
      </c>
      <c r="L33" s="3">
        <v>-8.6630772262807892E-3</v>
      </c>
      <c r="M33" s="2"/>
      <c r="N33" s="2"/>
      <c r="O33" s="2"/>
      <c r="P33" s="2"/>
      <c r="Q33" s="2"/>
    </row>
    <row r="34" spans="1:17" x14ac:dyDescent="0.2">
      <c r="A34" s="1">
        <v>7.0099824619071997E-3</v>
      </c>
      <c r="B34" s="3">
        <v>1.16353441733749E-2</v>
      </c>
      <c r="C34" s="3">
        <v>4.9042918888815203E-3</v>
      </c>
      <c r="D34" s="3">
        <v>1.9669024946304701E-2</v>
      </c>
      <c r="E34" s="3">
        <v>3.0137201909114998E-3</v>
      </c>
      <c r="F34" s="3">
        <v>1.22808714563591E-2</v>
      </c>
      <c r="G34" s="3">
        <v>-3.4895599787774199E-3</v>
      </c>
      <c r="H34" s="3">
        <v>7.4931066397167997E-3</v>
      </c>
      <c r="I34" s="3">
        <v>1.2026167580482401E-2</v>
      </c>
      <c r="J34" s="3">
        <v>4.4346618351676003E-3</v>
      </c>
      <c r="K34" s="3">
        <v>1.1972245136423899E-2</v>
      </c>
      <c r="L34" s="3">
        <v>5.3250789125926998E-3</v>
      </c>
      <c r="M34" s="2"/>
      <c r="N34" s="2"/>
      <c r="O34" s="2"/>
      <c r="P34" s="2"/>
      <c r="Q34" s="2"/>
    </row>
    <row r="35" spans="1:17" x14ac:dyDescent="0.2">
      <c r="A35" s="1">
        <v>-4.5039072869907902E-3</v>
      </c>
      <c r="B35" s="3">
        <v>-4.9744411010752502E-3</v>
      </c>
      <c r="C35" s="3">
        <v>-2.7652196012368699E-3</v>
      </c>
      <c r="D35" s="3">
        <v>-3.85899746129325E-3</v>
      </c>
      <c r="E35" s="3">
        <v>-5.80563885301188E-3</v>
      </c>
      <c r="F35" s="3">
        <v>-5.9057602521397296E-3</v>
      </c>
      <c r="G35" s="3">
        <v>-9.04568189151078E-3</v>
      </c>
      <c r="H35" s="3">
        <v>-1.6137193934298E-3</v>
      </c>
      <c r="I35" s="4">
        <v>-6.1862784590749302E-5</v>
      </c>
      <c r="J35" s="3">
        <v>1.69803363574083E-3</v>
      </c>
      <c r="K35" s="3">
        <v>5.6133797002022503E-4</v>
      </c>
      <c r="L35" s="3">
        <v>2.5081412839214E-3</v>
      </c>
      <c r="M35" s="2"/>
      <c r="N35" s="2"/>
      <c r="O35" s="2"/>
      <c r="P35" s="2"/>
      <c r="Q35" s="2"/>
    </row>
    <row r="36" spans="1:17" x14ac:dyDescent="0.2">
      <c r="A36" s="1">
        <v>1.77241495125166E-2</v>
      </c>
      <c r="B36" s="3">
        <v>-2.3322103856803202E-2</v>
      </c>
      <c r="C36" s="3">
        <v>5.4545641727656797E-3</v>
      </c>
      <c r="D36" s="3">
        <v>-2.5670552523144201E-2</v>
      </c>
      <c r="E36" s="3">
        <v>5.2226600696674199E-3</v>
      </c>
      <c r="F36" s="3">
        <v>-2.5172749905039801E-2</v>
      </c>
      <c r="G36" s="3">
        <v>-2.5690203824872498E-2</v>
      </c>
      <c r="H36" s="3">
        <v>-2.2619241963908101E-2</v>
      </c>
      <c r="I36" s="3">
        <v>-2.4773801942155699E-2</v>
      </c>
      <c r="J36" s="3">
        <v>-1.8673547862949301E-2</v>
      </c>
      <c r="K36" s="3">
        <v>-1.36146250485156E-2</v>
      </c>
      <c r="L36" s="3">
        <v>-1.67324037445453E-2</v>
      </c>
      <c r="M36" s="2"/>
      <c r="N36" s="2"/>
      <c r="O36" s="2"/>
      <c r="P36" s="2"/>
      <c r="Q36" s="2"/>
    </row>
    <row r="37" spans="1:17" x14ac:dyDescent="0.2">
      <c r="A37" s="1">
        <v>2.36611519755804E-2</v>
      </c>
      <c r="B37" s="3">
        <v>2.9674325371740098E-2</v>
      </c>
      <c r="C37" s="3">
        <v>1.9827112452565899E-2</v>
      </c>
      <c r="D37" s="3">
        <v>9.2510456536132307E-3</v>
      </c>
      <c r="E37" s="3">
        <v>2.4023139113086001E-2</v>
      </c>
      <c r="F37" s="3">
        <v>1.9600251498402999E-2</v>
      </c>
      <c r="G37" s="3">
        <v>3.9045934632903498E-2</v>
      </c>
      <c r="H37" s="3">
        <v>-1.1615462998903999E-3</v>
      </c>
      <c r="I37" s="3">
        <v>1.6894917211995798E-2</v>
      </c>
      <c r="J37" s="3">
        <v>1.1823100648197001E-2</v>
      </c>
      <c r="K37" s="3">
        <v>5.9402765085820796E-3</v>
      </c>
      <c r="L37" s="3">
        <v>6.37381181249918E-3</v>
      </c>
      <c r="M37" s="2"/>
      <c r="N37" s="2"/>
      <c r="O37" s="2"/>
      <c r="P37" s="2"/>
      <c r="Q37" s="2"/>
    </row>
    <row r="38" spans="1:17" x14ac:dyDescent="0.2">
      <c r="A38" s="1">
        <v>-7.8759348482311201E-3</v>
      </c>
      <c r="B38" s="3">
        <v>1.20897159654915E-2</v>
      </c>
      <c r="C38" s="3">
        <v>-2.83175237340138E-3</v>
      </c>
      <c r="D38" s="3">
        <v>2.9844034098542799E-3</v>
      </c>
      <c r="E38" s="3">
        <v>2.7114085610584399E-3</v>
      </c>
      <c r="F38" s="3">
        <v>1.44513128211176E-2</v>
      </c>
      <c r="G38" s="3">
        <v>9.4901323325648993E-3</v>
      </c>
      <c r="H38" s="3">
        <v>-1.4626805617741199E-3</v>
      </c>
      <c r="I38" s="3">
        <v>1.1696483463753101E-2</v>
      </c>
      <c r="J38" s="3">
        <v>1.2276410532370201E-3</v>
      </c>
      <c r="K38" s="3">
        <v>3.5303117261633599E-3</v>
      </c>
      <c r="L38" s="3">
        <v>1.7104854133940201E-3</v>
      </c>
      <c r="M38" s="2"/>
      <c r="N38" s="2"/>
      <c r="O38" s="2"/>
      <c r="P38" s="2"/>
      <c r="Q38" s="2"/>
    </row>
    <row r="39" spans="1:17" x14ac:dyDescent="0.2">
      <c r="A39" s="1">
        <v>-1.34399714381465E-2</v>
      </c>
      <c r="B39" s="3">
        <v>-1.3130509295222E-2</v>
      </c>
      <c r="C39" s="3">
        <v>-1.7087204799312399E-2</v>
      </c>
      <c r="D39" s="3">
        <v>3.0792188200248202E-2</v>
      </c>
      <c r="E39" s="3">
        <v>-2.3008213095612101E-2</v>
      </c>
      <c r="F39" s="3">
        <v>5.7773309887043604E-3</v>
      </c>
      <c r="G39" s="3">
        <v>1.0259698471320499E-2</v>
      </c>
      <c r="H39" s="3">
        <v>1.1944665204204299E-2</v>
      </c>
      <c r="I39" s="3">
        <v>-2.27772015613325E-3</v>
      </c>
      <c r="J39" s="3">
        <v>2.0077120416352099E-2</v>
      </c>
      <c r="K39" s="3">
        <v>1.2604087867666701E-2</v>
      </c>
      <c r="L39" s="3">
        <v>2.5768474631345101E-2</v>
      </c>
      <c r="M39" s="2"/>
      <c r="N39" s="2"/>
      <c r="O39" s="2"/>
      <c r="P39" s="2"/>
      <c r="Q39" s="2"/>
    </row>
    <row r="40" spans="1:17" x14ac:dyDescent="0.2">
      <c r="A40" s="1">
        <v>-5.16021011111285E-2</v>
      </c>
      <c r="B40" s="3">
        <v>-1.29151605800823E-2</v>
      </c>
      <c r="C40" s="3">
        <v>-7.8234509264634104E-3</v>
      </c>
      <c r="D40" s="3">
        <v>-9.8357593130240506E-3</v>
      </c>
      <c r="E40" s="3">
        <v>-3.4220080695863599E-3</v>
      </c>
      <c r="F40" s="3">
        <v>3.3430629270219101E-3</v>
      </c>
      <c r="G40" s="3">
        <v>1.43372316934864E-3</v>
      </c>
      <c r="H40" s="3">
        <v>-7.5851416379075698E-3</v>
      </c>
      <c r="I40" s="3">
        <v>1.26523306772456E-2</v>
      </c>
      <c r="J40" s="3">
        <v>-6.2325991483398397E-3</v>
      </c>
      <c r="K40" s="3">
        <v>1.5378265196455099E-3</v>
      </c>
      <c r="L40" s="3">
        <v>-4.7555791120785697E-3</v>
      </c>
      <c r="M40" s="2"/>
      <c r="N40" s="2"/>
      <c r="O40" s="2"/>
      <c r="P40" s="2"/>
      <c r="Q40" s="2"/>
    </row>
    <row r="41" spans="1:17" x14ac:dyDescent="0.2">
      <c r="A41" s="1">
        <v>2.5327644315112901E-2</v>
      </c>
      <c r="B41" s="3">
        <v>2.13905163511292E-2</v>
      </c>
      <c r="C41" s="3">
        <v>1.07838696902238E-2</v>
      </c>
      <c r="D41" s="3">
        <v>9.2444865467977699E-4</v>
      </c>
      <c r="E41" s="3">
        <v>1.18946058472813E-2</v>
      </c>
      <c r="F41" s="3">
        <v>1.3083847233437099E-3</v>
      </c>
      <c r="G41" s="3">
        <v>9.5781427813939005E-3</v>
      </c>
      <c r="H41" s="3">
        <v>-4.4046140166553701E-3</v>
      </c>
      <c r="I41" s="3">
        <v>7.0779362204520498E-3</v>
      </c>
      <c r="J41" s="3">
        <v>-2.3480975860463698E-3</v>
      </c>
      <c r="K41" s="3">
        <v>-7.01537006423835E-4</v>
      </c>
      <c r="L41" s="3">
        <v>1.46806943305755E-2</v>
      </c>
      <c r="M41" s="2"/>
      <c r="N41" s="2"/>
      <c r="O41" s="2"/>
      <c r="P41" s="2"/>
      <c r="Q41" s="2"/>
    </row>
    <row r="42" spans="1:17" x14ac:dyDescent="0.2">
      <c r="A42" s="1">
        <v>4.8691262660926996E-3</v>
      </c>
      <c r="B42" s="3">
        <v>-1.8532288321282099E-2</v>
      </c>
      <c r="C42" s="3">
        <v>-2.7030613995695899E-2</v>
      </c>
      <c r="D42" s="3">
        <v>1.06849309183691E-2</v>
      </c>
      <c r="E42" s="3">
        <v>-1.83189645233445E-2</v>
      </c>
      <c r="F42" s="3">
        <v>2.5487977968467999E-2</v>
      </c>
      <c r="G42" s="3">
        <v>-1.0943203544527999E-2</v>
      </c>
      <c r="H42" s="3">
        <v>2.4058879333646699E-2</v>
      </c>
      <c r="I42" s="3">
        <v>1.7714695343846901E-2</v>
      </c>
      <c r="J42" s="3">
        <v>2.07686256576495E-2</v>
      </c>
      <c r="K42" s="3">
        <v>2.5086017214369399E-2</v>
      </c>
      <c r="L42" s="3">
        <v>3.6227170277847102E-2</v>
      </c>
      <c r="M42" s="2"/>
      <c r="N42" s="2"/>
      <c r="O42" s="2"/>
      <c r="P42" s="2"/>
      <c r="Q42" s="2"/>
    </row>
    <row r="43" spans="1:17" x14ac:dyDescent="0.2">
      <c r="A43" s="1">
        <v>-7.21544562632558E-3</v>
      </c>
      <c r="B43" s="3">
        <v>-1.09501466786794E-2</v>
      </c>
      <c r="C43" s="3">
        <v>-1.6967540701509701E-2</v>
      </c>
      <c r="D43" s="3">
        <v>-8.8876602591403397E-3</v>
      </c>
      <c r="E43" s="3">
        <v>7.7429533491457604E-4</v>
      </c>
      <c r="F43" s="3">
        <v>-6.7331928663394401E-3</v>
      </c>
      <c r="G43" s="3">
        <v>1.5474785295326299E-3</v>
      </c>
      <c r="H43" s="3">
        <v>-2.82775759391766E-2</v>
      </c>
      <c r="I43" s="3">
        <v>2.2640378339504299E-2</v>
      </c>
      <c r="J43" s="3">
        <v>-4.7260773733048796E-3</v>
      </c>
      <c r="K43" s="3">
        <v>2.9436248291676299E-2</v>
      </c>
      <c r="L43" s="3">
        <v>7.3097840272380301E-3</v>
      </c>
      <c r="M43" s="2"/>
      <c r="N43" s="2"/>
      <c r="O43" s="2"/>
      <c r="P43" s="2"/>
      <c r="Q43" s="2"/>
    </row>
    <row r="44" spans="1:17" x14ac:dyDescent="0.2">
      <c r="A44" s="1">
        <v>3.59277913404858E-2</v>
      </c>
      <c r="B44" s="3">
        <v>1.87368785366459E-2</v>
      </c>
      <c r="C44" s="3">
        <v>2.3736424060265701E-2</v>
      </c>
      <c r="D44" s="3">
        <v>1.8790222191015199E-2</v>
      </c>
      <c r="E44" s="3">
        <v>1.61248020318174E-2</v>
      </c>
      <c r="F44" s="3">
        <v>2.6578975284989401E-2</v>
      </c>
      <c r="G44" s="3">
        <v>2.0020715145396099E-2</v>
      </c>
      <c r="H44" s="3">
        <v>1.5679354516221201E-2</v>
      </c>
      <c r="I44" s="3">
        <v>8.8008228034885897E-3</v>
      </c>
      <c r="J44" s="3">
        <v>1.8581506715649999E-2</v>
      </c>
      <c r="K44" s="3">
        <v>2.7280421442399599E-2</v>
      </c>
      <c r="L44" s="3">
        <v>-2.1644682541044301E-4</v>
      </c>
      <c r="M44" s="2"/>
      <c r="N44" s="2"/>
      <c r="O44" s="2"/>
      <c r="P44" s="2"/>
      <c r="Q44" s="2"/>
    </row>
    <row r="45" spans="1:17" x14ac:dyDescent="0.2">
      <c r="A45" s="1">
        <v>-4.3650051156671702E-3</v>
      </c>
      <c r="B45" s="3">
        <v>-4.7676842684636301E-3</v>
      </c>
      <c r="C45" s="3">
        <v>2.28200813952694E-4</v>
      </c>
      <c r="D45" s="3">
        <v>1.29060031671295E-2</v>
      </c>
      <c r="E45" s="3">
        <v>-6.5356116745558497E-3</v>
      </c>
      <c r="F45" s="3">
        <v>-4.9856124798583999E-3</v>
      </c>
      <c r="G45" s="3">
        <v>-8.8177498361876605E-3</v>
      </c>
      <c r="H45" s="3">
        <v>1.55463424797384E-2</v>
      </c>
      <c r="I45" s="3">
        <v>-7.4285115380716598E-3</v>
      </c>
      <c r="J45" s="3">
        <v>6.0729197794540104E-3</v>
      </c>
      <c r="K45" s="3">
        <v>4.15631613657652E-4</v>
      </c>
      <c r="L45" s="3">
        <v>7.7782839099977902E-3</v>
      </c>
      <c r="M45" s="2"/>
      <c r="N45" s="2"/>
      <c r="O45" s="2"/>
      <c r="P45" s="2"/>
      <c r="Q45" s="2"/>
    </row>
    <row r="46" spans="1:17" x14ac:dyDescent="0.2">
      <c r="A46" s="1">
        <v>-8.4189803371907904E-3</v>
      </c>
      <c r="B46" s="3">
        <v>-4.1215940072716296E-3</v>
      </c>
      <c r="C46" s="3">
        <v>6.6122920384621402E-3</v>
      </c>
      <c r="D46" s="3">
        <v>2.8826198019076901E-2</v>
      </c>
      <c r="E46" s="3">
        <v>-1.13432088062315E-3</v>
      </c>
      <c r="F46" s="3">
        <v>2.4559898944260801E-3</v>
      </c>
      <c r="G46" s="3">
        <v>-2.2822295194028001E-2</v>
      </c>
      <c r="H46" s="3">
        <v>3.7867584329887E-4</v>
      </c>
      <c r="I46" s="3">
        <v>-1.6187579602717501E-2</v>
      </c>
      <c r="J46" s="3">
        <v>-1.37983361511748E-2</v>
      </c>
      <c r="K46" s="3">
        <v>-4.73561199288696E-3</v>
      </c>
      <c r="L46" s="3">
        <v>-1.3463309616326099E-2</v>
      </c>
      <c r="M46" s="2"/>
      <c r="N46" s="2"/>
      <c r="O46" s="2"/>
      <c r="P46" s="2"/>
      <c r="Q46" s="2"/>
    </row>
    <row r="47" spans="1:17" x14ac:dyDescent="0.2">
      <c r="A47" s="1">
        <v>1.03786477247507E-2</v>
      </c>
      <c r="B47" s="3">
        <v>2.4221877150083899E-2</v>
      </c>
      <c r="C47" s="3">
        <v>3.5512832420040198E-2</v>
      </c>
      <c r="D47" s="3">
        <v>1.3681607210263401E-2</v>
      </c>
      <c r="E47" s="3">
        <v>4.2271567612867503E-2</v>
      </c>
      <c r="F47" s="3">
        <v>1.7364513008555502E-2</v>
      </c>
      <c r="G47" s="3">
        <v>2.4598662911135199E-2</v>
      </c>
      <c r="H47" s="3">
        <v>1.9236274450921999E-2</v>
      </c>
      <c r="I47" s="3">
        <v>1.44262427206369E-2</v>
      </c>
      <c r="J47" s="3">
        <v>1.6768340113653801E-2</v>
      </c>
      <c r="K47" s="3">
        <v>6.8066389840461998E-3</v>
      </c>
      <c r="L47" s="3">
        <v>1.9207827958582301E-2</v>
      </c>
      <c r="M47" s="2"/>
      <c r="N47" s="2"/>
      <c r="O47" s="2"/>
      <c r="P47" s="2"/>
      <c r="Q47" s="2"/>
    </row>
    <row r="48" spans="1:17" x14ac:dyDescent="0.2">
      <c r="A48" s="1">
        <v>-6.4046889347935104E-3</v>
      </c>
      <c r="B48" s="3">
        <v>-1.2876567351919501E-2</v>
      </c>
      <c r="C48" s="3">
        <v>-2.34878734194892E-2</v>
      </c>
      <c r="D48" s="3">
        <v>-1.6902585032347799E-2</v>
      </c>
      <c r="E48" s="3">
        <v>-2.1476078141271001E-2</v>
      </c>
      <c r="F48" s="3">
        <v>3.3208211060434797E-2</v>
      </c>
      <c r="G48" s="3">
        <v>-5.5110606460022603E-3</v>
      </c>
      <c r="H48" s="3">
        <v>-5.6083526386689897E-3</v>
      </c>
      <c r="I48" s="3">
        <v>-1.9567741746183E-2</v>
      </c>
      <c r="J48" s="3">
        <v>-9.8970962394571097E-3</v>
      </c>
      <c r="K48" s="3">
        <v>1.4900748033912501E-3</v>
      </c>
      <c r="L48" s="3">
        <v>1.14370022361569E-2</v>
      </c>
      <c r="M48" s="2"/>
      <c r="N48" s="2"/>
      <c r="O48" s="2"/>
      <c r="P48" s="2"/>
      <c r="Q48" s="2"/>
    </row>
    <row r="49" spans="1:17" x14ac:dyDescent="0.2">
      <c r="A49" s="1">
        <v>1.0351330221491701E-2</v>
      </c>
      <c r="B49" s="3">
        <v>-6.6134029138353802E-4</v>
      </c>
      <c r="C49" s="3">
        <v>-1.93070061241211E-2</v>
      </c>
      <c r="D49" s="3">
        <v>5.0554501999089396E-3</v>
      </c>
      <c r="E49" s="3">
        <v>2.8228331565704999E-3</v>
      </c>
      <c r="F49" s="3">
        <v>7.4400030999157698E-3</v>
      </c>
      <c r="G49" s="3">
        <v>6.5424737448038697E-3</v>
      </c>
      <c r="H49" s="3">
        <v>2.13222176863616E-2</v>
      </c>
      <c r="I49" s="3">
        <v>5.1787274890748797E-3</v>
      </c>
      <c r="J49" s="3">
        <v>1.8869583870342502E-2</v>
      </c>
      <c r="K49" s="3">
        <v>-4.02266148471697E-3</v>
      </c>
      <c r="L49" s="3">
        <v>7.5387886879649804E-3</v>
      </c>
      <c r="M49" s="2"/>
      <c r="N49" s="2"/>
      <c r="O49" s="2"/>
      <c r="P49" s="2"/>
      <c r="Q49" s="2"/>
    </row>
    <row r="50" spans="1:17" x14ac:dyDescent="0.2">
      <c r="A50" s="1">
        <v>4.8772891625683502E-3</v>
      </c>
      <c r="B50" s="3">
        <v>-2.20290145460744E-3</v>
      </c>
      <c r="C50" s="3">
        <v>-1.05302141818053E-3</v>
      </c>
      <c r="D50" s="3">
        <v>1.6057917948071299E-3</v>
      </c>
      <c r="E50" s="3">
        <v>-1.22113841295856E-3</v>
      </c>
      <c r="F50" s="3">
        <v>-1.6390861521200499E-3</v>
      </c>
      <c r="G50" s="3">
        <v>-1.4771949843499399E-3</v>
      </c>
      <c r="H50" s="3">
        <v>-3.8624848535204698E-3</v>
      </c>
      <c r="I50" s="3">
        <v>-2.9306122337471301E-3</v>
      </c>
      <c r="J50" s="3">
        <v>-2.9391877311917198E-3</v>
      </c>
      <c r="K50" s="3">
        <v>-3.5707578896460002E-4</v>
      </c>
      <c r="L50" s="3">
        <v>4.0602775842668503E-3</v>
      </c>
      <c r="M50" s="2"/>
      <c r="N50" s="2"/>
      <c r="O50" s="2"/>
      <c r="P50" s="2"/>
      <c r="Q50" s="2"/>
    </row>
    <row r="51" spans="1:17" x14ac:dyDescent="0.2">
      <c r="A51" s="1">
        <v>-2.8653836887795299E-3</v>
      </c>
      <c r="B51" s="3">
        <v>-2.9804287355024101E-3</v>
      </c>
      <c r="C51" s="3">
        <v>-2.10225409172193E-3</v>
      </c>
      <c r="D51" s="3">
        <v>4.7907959570829802E-3</v>
      </c>
      <c r="E51" s="3">
        <v>-6.6636688580001802E-4</v>
      </c>
      <c r="F51" s="3">
        <v>2.9683358851317898E-4</v>
      </c>
      <c r="G51" s="3">
        <v>-1.6837378668288401E-3</v>
      </c>
      <c r="H51" s="3">
        <v>-7.5424651665834098E-4</v>
      </c>
      <c r="I51" s="3">
        <v>1.8493856216235101E-3</v>
      </c>
      <c r="J51" s="3">
        <v>-4.7409911700562104E-3</v>
      </c>
      <c r="K51" s="3">
        <v>2.60941915673362E-3</v>
      </c>
      <c r="L51" s="3">
        <v>1.8277315621197899E-3</v>
      </c>
      <c r="M51" s="2"/>
      <c r="N51" s="2"/>
      <c r="O51" s="2"/>
      <c r="P51" s="2"/>
      <c r="Q51" s="2"/>
    </row>
    <row r="52" spans="1:17" x14ac:dyDescent="0.2">
      <c r="A52" s="1">
        <v>-1.8125680406750799E-3</v>
      </c>
      <c r="B52" s="3">
        <v>1.04704867884897E-3</v>
      </c>
      <c r="C52" s="3">
        <v>-1.16309858659775E-2</v>
      </c>
      <c r="D52" s="3">
        <v>3.6738991609137602E-3</v>
      </c>
      <c r="E52" s="3">
        <v>5.6905007188112701E-4</v>
      </c>
      <c r="F52" s="3">
        <v>1.37299995458284E-3</v>
      </c>
      <c r="G52" s="3">
        <v>3.07111788624658E-3</v>
      </c>
      <c r="H52" s="3">
        <v>-1.4937655314952201E-2</v>
      </c>
      <c r="I52" s="3">
        <v>1.0455356775736301E-2</v>
      </c>
      <c r="J52" s="3">
        <v>-3.1846212111759E-3</v>
      </c>
      <c r="K52" s="3">
        <v>2.4223528032134502E-3</v>
      </c>
      <c r="L52" s="3">
        <v>3.4466508617256798E-3</v>
      </c>
      <c r="M52" s="2"/>
      <c r="N52" s="2"/>
      <c r="O52" s="2"/>
      <c r="P52" s="2"/>
      <c r="Q52" s="2"/>
    </row>
    <row r="53" spans="1:17" x14ac:dyDescent="0.2">
      <c r="A53" s="1">
        <v>1.77099229448107E-3</v>
      </c>
      <c r="B53" s="3">
        <v>4.3870993863690498E-3</v>
      </c>
      <c r="C53" s="3">
        <v>1.28566527470905E-2</v>
      </c>
      <c r="D53" s="3">
        <v>9.3306658580800603E-3</v>
      </c>
      <c r="E53" s="3">
        <v>1.7311929227289101E-2</v>
      </c>
      <c r="F53" s="3">
        <v>5.3178699150946401E-3</v>
      </c>
      <c r="G53" s="3">
        <v>1.4427599361831901E-2</v>
      </c>
      <c r="H53" s="3">
        <v>1.50852382852735E-2</v>
      </c>
      <c r="I53" s="3">
        <v>-1.21397567947141E-2</v>
      </c>
      <c r="J53" s="3">
        <v>1.6220154126529399E-3</v>
      </c>
      <c r="K53" s="3">
        <v>1.29265002122549E-2</v>
      </c>
      <c r="L53" s="3">
        <v>2.4355945502805201E-3</v>
      </c>
      <c r="M53" s="2"/>
      <c r="N53" s="2"/>
      <c r="O53" s="2"/>
      <c r="P53" s="2"/>
      <c r="Q53" s="2"/>
    </row>
    <row r="54" spans="1:17" x14ac:dyDescent="0.2">
      <c r="A54" s="1">
        <v>1.5894974193069601E-2</v>
      </c>
      <c r="B54" s="3">
        <v>4.1976145803701501E-3</v>
      </c>
      <c r="C54" s="3">
        <v>-1.35702346758257E-2</v>
      </c>
      <c r="D54" s="3">
        <v>3.55092479553786E-3</v>
      </c>
      <c r="E54" s="3">
        <v>4.2602848974973E-3</v>
      </c>
      <c r="F54" s="3">
        <v>2.0005178214131902E-2</v>
      </c>
      <c r="G54" s="3">
        <v>1.47281916928698E-3</v>
      </c>
      <c r="H54" s="3">
        <v>2.5577636333555798E-2</v>
      </c>
      <c r="I54" s="3">
        <v>1.37825074564397E-2</v>
      </c>
      <c r="J54" s="3">
        <v>7.54624858344432E-3</v>
      </c>
      <c r="K54" s="3">
        <v>-9.7705157944716296E-3</v>
      </c>
      <c r="L54" s="3">
        <v>1.87665103607859E-3</v>
      </c>
      <c r="M54" s="2"/>
      <c r="N54" s="2"/>
      <c r="O54" s="2"/>
      <c r="P54" s="2"/>
      <c r="Q54" s="2"/>
    </row>
    <row r="55" spans="1:17" x14ac:dyDescent="0.2">
      <c r="A55" s="1">
        <v>1.2489237956856401E-3</v>
      </c>
      <c r="B55" s="3">
        <v>-1.0571070942857401E-3</v>
      </c>
      <c r="C55" s="3">
        <v>1.7638266227316401E-2</v>
      </c>
      <c r="D55" s="3">
        <v>-3.0782956957144899E-3</v>
      </c>
      <c r="E55" s="3">
        <v>4.5302441069277003E-3</v>
      </c>
      <c r="F55" s="3">
        <v>2.37753491021752E-3</v>
      </c>
      <c r="G55" s="3">
        <v>7.0032758232942902E-3</v>
      </c>
      <c r="H55" s="3">
        <v>1.19957860108792E-2</v>
      </c>
      <c r="I55" s="3">
        <v>3.4867564831595399E-3</v>
      </c>
      <c r="J55" s="3">
        <v>-1.4188272561096E-2</v>
      </c>
      <c r="K55" s="3">
        <v>2.6533106540240499E-2</v>
      </c>
      <c r="L55" s="3">
        <v>1.0480410336754099E-2</v>
      </c>
      <c r="M55" s="2"/>
      <c r="N55" s="2"/>
      <c r="O55" s="2"/>
      <c r="P55" s="2"/>
      <c r="Q55" s="2"/>
    </row>
    <row r="56" spans="1:17" x14ac:dyDescent="0.2">
      <c r="A56" s="1">
        <v>1.8711284815371199E-2</v>
      </c>
      <c r="B56" s="3">
        <v>4.2618431677627001E-2</v>
      </c>
      <c r="C56" s="3">
        <v>2.49861295171767E-2</v>
      </c>
      <c r="D56" s="3">
        <v>1.57990238544298E-2</v>
      </c>
      <c r="E56" s="3">
        <v>1.5765267879200798E-2</v>
      </c>
      <c r="F56" s="3">
        <v>2.2006479739584599E-3</v>
      </c>
      <c r="G56" s="3">
        <v>1.59750898679391E-2</v>
      </c>
      <c r="H56" s="3">
        <v>7.4809796274657404E-3</v>
      </c>
      <c r="I56" s="3">
        <v>2.1549712196486201E-2</v>
      </c>
      <c r="J56" s="3">
        <v>-1.50970609600065E-2</v>
      </c>
      <c r="K56" s="3">
        <v>1.7326983893886001E-3</v>
      </c>
      <c r="L56" s="3">
        <v>-9.4708446433624492E-3</v>
      </c>
      <c r="M56" s="2"/>
      <c r="N56" s="2"/>
      <c r="O56" s="2"/>
      <c r="P56" s="2"/>
      <c r="Q56" s="2"/>
    </row>
    <row r="57" spans="1:17" x14ac:dyDescent="0.2">
      <c r="A57" s="1">
        <v>-1.7916182394257501E-3</v>
      </c>
      <c r="B57" s="3">
        <v>-2.0671774502465301E-3</v>
      </c>
      <c r="C57" s="3">
        <v>1.5891322756769099E-3</v>
      </c>
      <c r="D57" s="3">
        <v>-3.6962247640204201E-4</v>
      </c>
      <c r="E57" s="3">
        <v>-2.5912689793212702E-3</v>
      </c>
      <c r="F57" s="3">
        <v>1.0456120879860299E-3</v>
      </c>
      <c r="G57" s="3">
        <v>2.6518802297532599E-3</v>
      </c>
      <c r="H57" s="3">
        <v>4.81968292480261E-3</v>
      </c>
      <c r="I57" s="3">
        <v>-1.7414930229619999E-3</v>
      </c>
      <c r="J57" s="3">
        <v>-2.34935142945147E-3</v>
      </c>
      <c r="K57" s="3">
        <v>4.0459597695119399E-4</v>
      </c>
      <c r="L57" s="3">
        <v>2.7324004260638099E-3</v>
      </c>
      <c r="M57" s="2"/>
      <c r="N57" s="2"/>
      <c r="O57" s="2"/>
      <c r="P57" s="2"/>
      <c r="Q57" s="2"/>
    </row>
    <row r="58" spans="1:17" x14ac:dyDescent="0.2">
      <c r="A58" s="1">
        <v>9.4430917441377105E-3</v>
      </c>
      <c r="B58" s="3">
        <v>1.7279509103946801E-2</v>
      </c>
      <c r="C58" s="3">
        <v>1.8128505609698E-2</v>
      </c>
      <c r="D58" s="3">
        <v>1.9445743403481999E-2</v>
      </c>
      <c r="E58" s="3">
        <v>1.2434034031946799E-2</v>
      </c>
      <c r="F58" s="3">
        <v>-8.0784006630982806E-3</v>
      </c>
      <c r="G58" s="3">
        <v>1.4692536349159201E-2</v>
      </c>
      <c r="H58" s="3">
        <v>1.52172864327813E-2</v>
      </c>
      <c r="I58" s="3">
        <v>1.5182829062044099E-2</v>
      </c>
      <c r="J58" s="3">
        <v>1.28083883155145E-2</v>
      </c>
      <c r="K58" s="3">
        <v>7.3466229183862799E-3</v>
      </c>
      <c r="L58" s="3">
        <v>7.66698639781737E-3</v>
      </c>
      <c r="M58" s="2"/>
      <c r="N58" s="2"/>
      <c r="O58" s="2"/>
      <c r="P58" s="2"/>
      <c r="Q58" s="2"/>
    </row>
    <row r="59" spans="1:17" x14ac:dyDescent="0.2">
      <c r="A59" s="1">
        <v>1.5308321178588401E-2</v>
      </c>
      <c r="B59" s="3">
        <v>6.9065104046914698E-3</v>
      </c>
      <c r="C59" s="3">
        <v>2.7863526723430801E-2</v>
      </c>
      <c r="D59" s="3">
        <v>1.20500387568698E-2</v>
      </c>
      <c r="E59" s="3">
        <v>3.8266859565911902E-3</v>
      </c>
      <c r="F59" s="3">
        <v>6.01119005014361E-4</v>
      </c>
      <c r="G59" s="3">
        <v>8.43587256019784E-3</v>
      </c>
      <c r="H59" s="3">
        <v>9.3042179509026292E-3</v>
      </c>
      <c r="I59" s="3">
        <v>2.8361922423136799E-3</v>
      </c>
      <c r="J59" s="3">
        <v>-5.6417637821750601E-3</v>
      </c>
      <c r="K59" s="3">
        <v>3.3974356158346002E-3</v>
      </c>
      <c r="L59" s="3">
        <v>1.5909756208678501E-3</v>
      </c>
      <c r="M59" s="2"/>
      <c r="N59" s="2"/>
      <c r="O59" s="2"/>
      <c r="P59" s="2"/>
      <c r="Q59" s="2"/>
    </row>
    <row r="60" spans="1:17" x14ac:dyDescent="0.2">
      <c r="A60" s="1">
        <v>6.7853242737392298E-3</v>
      </c>
      <c r="B60" s="3">
        <v>1.5178809221692E-2</v>
      </c>
      <c r="C60" s="3">
        <v>-3.4390499452869802E-3</v>
      </c>
      <c r="D60" s="3">
        <v>8.3941137793213105E-3</v>
      </c>
      <c r="E60" s="3">
        <v>-9.9692263773021295E-4</v>
      </c>
      <c r="F60" s="3">
        <v>6.5653323962096E-3</v>
      </c>
      <c r="G60" s="3">
        <v>-5.1112637900494404E-3</v>
      </c>
      <c r="H60" s="3">
        <v>-1.4990944835144101E-2</v>
      </c>
      <c r="I60" s="3">
        <v>1.7375631113179801E-2</v>
      </c>
      <c r="J60" s="3">
        <v>7.1137608889886199E-3</v>
      </c>
      <c r="K60" s="3">
        <v>2.9592436560932302E-4</v>
      </c>
      <c r="L60" s="3">
        <v>2.17687984440773E-3</v>
      </c>
      <c r="M60" s="2"/>
      <c r="N60" s="2"/>
      <c r="O60" s="2"/>
      <c r="P60" s="2"/>
      <c r="Q60" s="2"/>
    </row>
    <row r="61" spans="1:17" x14ac:dyDescent="0.2">
      <c r="A61" s="1">
        <v>-1.76701491140662E-3</v>
      </c>
      <c r="B61" s="3">
        <v>3.03078308509863E-3</v>
      </c>
      <c r="C61" s="3">
        <v>3.4743007816562198E-3</v>
      </c>
      <c r="D61" s="3">
        <v>4.2408702560328103E-3</v>
      </c>
      <c r="E61" s="3">
        <v>2.2495448890678098E-3</v>
      </c>
      <c r="F61" s="3">
        <v>3.6051015419022998E-3</v>
      </c>
      <c r="G61" s="3">
        <v>-2.4161089606042898E-3</v>
      </c>
      <c r="H61" s="3">
        <v>-3.8606791791497802E-3</v>
      </c>
      <c r="I61" s="3">
        <v>2.5435601904599798E-4</v>
      </c>
      <c r="J61" s="3">
        <v>-3.4439744960430502E-3</v>
      </c>
      <c r="K61" s="3">
        <v>-1.9083553241596701E-3</v>
      </c>
      <c r="L61" s="3">
        <v>-3.2685085319474798E-3</v>
      </c>
      <c r="M61" s="2"/>
      <c r="N61" s="2"/>
      <c r="O61" s="2"/>
      <c r="P61" s="2"/>
      <c r="Q61" s="2"/>
    </row>
    <row r="62" spans="1:17" x14ac:dyDescent="0.2">
      <c r="A62" s="1">
        <v>-2.6644445768322302E-3</v>
      </c>
      <c r="B62" s="3">
        <v>-1.4003258907163E-2</v>
      </c>
      <c r="C62" s="3">
        <v>1.7520927673434199E-2</v>
      </c>
      <c r="D62" s="3">
        <v>-7.1675562521162899E-3</v>
      </c>
      <c r="E62" s="3">
        <v>5.2777724768944198E-3</v>
      </c>
      <c r="F62" s="3">
        <v>4.2386265159512996E-3</v>
      </c>
      <c r="G62" s="3">
        <v>6.6045734289199498E-3</v>
      </c>
      <c r="H62" s="3">
        <v>3.75041237875084E-3</v>
      </c>
      <c r="I62" s="3">
        <v>3.3086282223229102E-3</v>
      </c>
      <c r="J62" s="3">
        <v>-3.0671972686979699E-3</v>
      </c>
      <c r="K62" s="3">
        <v>6.2838750400804298E-3</v>
      </c>
      <c r="L62" s="3">
        <v>4.1378433614040998E-3</v>
      </c>
      <c r="M62" s="2"/>
      <c r="N62" s="2"/>
      <c r="O62" s="2"/>
      <c r="P62" s="2"/>
      <c r="Q62" s="2"/>
    </row>
    <row r="63" spans="1:17" x14ac:dyDescent="0.2">
      <c r="A63" s="1">
        <v>-2.2542104787710501E-3</v>
      </c>
      <c r="B63" s="3">
        <v>-7.6308174601957802E-4</v>
      </c>
      <c r="C63" s="3">
        <v>-1.1206312037979E-3</v>
      </c>
      <c r="D63" s="3">
        <v>-3.3493243169835298E-4</v>
      </c>
      <c r="E63" s="3">
        <v>-1.3627157619644501E-3</v>
      </c>
      <c r="F63" s="3">
        <v>-1.8693250846002401E-4</v>
      </c>
      <c r="G63" s="4">
        <v>-5.0033250549530403E-5</v>
      </c>
      <c r="H63" s="3">
        <v>-1.5826811514485501E-4</v>
      </c>
      <c r="I63" s="3">
        <v>-2.8566425819036502E-3</v>
      </c>
      <c r="J63" s="3">
        <v>-2.3010167653802998E-3</v>
      </c>
      <c r="K63" s="3">
        <v>-5.6307998393698702E-3</v>
      </c>
      <c r="L63" s="3">
        <v>-2.53640445427549E-3</v>
      </c>
      <c r="M63" s="2"/>
      <c r="N63" s="2"/>
      <c r="O63" s="2"/>
      <c r="P63" s="2"/>
      <c r="Q63" s="2"/>
    </row>
    <row r="64" spans="1:17" x14ac:dyDescent="0.2">
      <c r="A64" s="1">
        <v>1.32433683479151E-2</v>
      </c>
      <c r="B64" s="3">
        <v>1.28900543496295E-2</v>
      </c>
      <c r="C64" s="3">
        <v>1.8385833651674201E-2</v>
      </c>
      <c r="D64" s="3">
        <v>1.5658011873172999E-2</v>
      </c>
      <c r="E64" s="3">
        <v>4.11862482635072E-3</v>
      </c>
      <c r="F64" s="3">
        <v>-9.5271410979620406E-3</v>
      </c>
      <c r="G64" s="3">
        <v>1.36850925832741E-2</v>
      </c>
      <c r="H64" s="3">
        <v>1.29618528968455E-2</v>
      </c>
      <c r="I64" s="3">
        <v>1.2610222725288601E-2</v>
      </c>
      <c r="J64" s="3">
        <v>2.18438219985055E-2</v>
      </c>
      <c r="K64" s="3">
        <v>1.29270230225424E-2</v>
      </c>
      <c r="L64" s="3">
        <v>2.1681042392196401E-2</v>
      </c>
      <c r="M64" s="2"/>
      <c r="N64" s="2"/>
      <c r="O64" s="2"/>
      <c r="P64" s="2"/>
      <c r="Q64" s="2"/>
    </row>
    <row r="65" spans="1:17" x14ac:dyDescent="0.2">
      <c r="A65" s="1">
        <v>-3.4385843506059498E-3</v>
      </c>
      <c r="B65" s="3">
        <v>1.2048850982465199E-2</v>
      </c>
      <c r="C65" s="3">
        <v>-1.5694338402760501E-2</v>
      </c>
      <c r="D65" s="3">
        <v>2.42017160588823E-2</v>
      </c>
      <c r="E65" s="3">
        <v>3.4853322278902699E-3</v>
      </c>
      <c r="F65" s="3">
        <v>2.2869488860684399E-2</v>
      </c>
      <c r="G65" s="3">
        <v>2.7751151607614901E-2</v>
      </c>
      <c r="H65" s="3">
        <v>2.09023033116046E-2</v>
      </c>
      <c r="I65" s="3">
        <v>3.1082539201600499E-2</v>
      </c>
      <c r="J65" s="3">
        <v>1.9395716965136599E-2</v>
      </c>
      <c r="K65" s="3">
        <v>2.2614207131065898E-2</v>
      </c>
      <c r="L65" s="3">
        <v>1.2934284874609601E-2</v>
      </c>
      <c r="M65" s="2"/>
      <c r="N65" s="2"/>
      <c r="O65" s="2"/>
      <c r="P65" s="2"/>
      <c r="Q65" s="2"/>
    </row>
    <row r="66" spans="1:17" x14ac:dyDescent="0.2">
      <c r="A66" s="1">
        <v>2.0377616830951201E-2</v>
      </c>
      <c r="B66" s="3">
        <v>3.7034420753861097E-2</v>
      </c>
      <c r="C66" s="3">
        <v>6.8678368024777097E-3</v>
      </c>
      <c r="D66" s="3">
        <v>4.1863223757947203E-2</v>
      </c>
      <c r="E66" s="3">
        <v>1.90004633259333E-2</v>
      </c>
      <c r="F66" s="3">
        <v>2.0735728967546899E-2</v>
      </c>
      <c r="G66" s="3">
        <v>2.6300025093505899E-2</v>
      </c>
      <c r="H66" s="3">
        <v>1.40601288988351E-2</v>
      </c>
      <c r="I66" s="3">
        <v>7.9070420376632297E-3</v>
      </c>
      <c r="J66" s="3">
        <v>2.44681639692148E-2</v>
      </c>
      <c r="K66" s="3">
        <v>3.3070369214721097E-2</v>
      </c>
      <c r="L66" s="3">
        <v>1.6304860911714202E-2</v>
      </c>
      <c r="M66" s="2"/>
      <c r="N66" s="2"/>
      <c r="O66" s="2"/>
      <c r="P66" s="2"/>
      <c r="Q66" s="2"/>
    </row>
    <row r="67" spans="1:17" x14ac:dyDescent="0.2">
      <c r="A67" s="1">
        <v>1.82630430153452E-2</v>
      </c>
      <c r="B67" s="3">
        <v>8.04095832968987E-3</v>
      </c>
      <c r="C67" s="3">
        <v>1.32194109191488E-2</v>
      </c>
      <c r="D67" s="3">
        <v>8.3800237631059798E-3</v>
      </c>
      <c r="E67" s="3">
        <v>3.9168693891229404E-3</v>
      </c>
      <c r="F67" s="3">
        <v>-2.2083617510846301E-3</v>
      </c>
      <c r="G67" s="3">
        <v>-3.5483274807457301E-3</v>
      </c>
      <c r="H67" s="3">
        <v>1.1976766207584401E-2</v>
      </c>
      <c r="I67" s="3">
        <v>-3.4088975439627799E-3</v>
      </c>
      <c r="J67" s="3">
        <v>1.02740463621699E-2</v>
      </c>
      <c r="K67" s="3">
        <v>-1.5845542446122299E-3</v>
      </c>
      <c r="L67" s="3">
        <v>-6.7181902560482501E-3</v>
      </c>
      <c r="M67" s="2"/>
      <c r="N67" s="2"/>
      <c r="O67" s="2"/>
      <c r="P67" s="2"/>
      <c r="Q67" s="2"/>
    </row>
    <row r="68" spans="1:17" x14ac:dyDescent="0.2">
      <c r="A68" s="1">
        <v>-4.0279639106994801E-3</v>
      </c>
      <c r="B68" s="3">
        <v>-1.6942311384140901E-2</v>
      </c>
      <c r="C68" s="3">
        <v>-1.34614013426093E-2</v>
      </c>
      <c r="D68" s="3">
        <v>-1.3634898506078999E-2</v>
      </c>
      <c r="E68" s="3">
        <v>-1.5932734693609299E-2</v>
      </c>
      <c r="F68" s="3">
        <v>-5.1134545492492897E-2</v>
      </c>
      <c r="G68" s="3">
        <v>-1.1970465573490401E-2</v>
      </c>
      <c r="H68" s="3">
        <v>-4.4277635438474397E-3</v>
      </c>
      <c r="I68" s="3">
        <v>-1.27491484321851E-3</v>
      </c>
      <c r="J68" s="3">
        <v>-3.0673946882611102E-3</v>
      </c>
      <c r="K68" s="3">
        <v>2.58458711092137E-2</v>
      </c>
      <c r="L68" s="3">
        <v>1.2820272942622699E-2</v>
      </c>
      <c r="M68" s="2"/>
      <c r="N68" s="2"/>
      <c r="O68" s="2"/>
      <c r="P68" s="2"/>
      <c r="Q68" s="2"/>
    </row>
    <row r="69" spans="1:17" x14ac:dyDescent="0.2">
      <c r="A69" s="1">
        <v>-5.44000351908446E-3</v>
      </c>
      <c r="B69" s="3">
        <v>-1.4959765230288999E-3</v>
      </c>
      <c r="C69" s="3">
        <v>6.7970062896804896E-4</v>
      </c>
      <c r="D69" s="3">
        <v>-4.3758035839800398E-3</v>
      </c>
      <c r="E69" s="3">
        <v>-3.9132259990219903E-3</v>
      </c>
      <c r="F69" s="3">
        <v>-2.9941514621825102E-3</v>
      </c>
      <c r="G69" s="3">
        <v>-2.0302923546040501E-3</v>
      </c>
      <c r="H69" s="3">
        <v>-4.8442773227559402E-3</v>
      </c>
      <c r="I69" s="3">
        <v>-9.8999842252567305E-4</v>
      </c>
      <c r="J69" s="3">
        <v>-4.1966085479197002E-3</v>
      </c>
      <c r="K69" s="3">
        <v>-4.8353010490262902E-3</v>
      </c>
      <c r="L69" s="3">
        <v>-5.3476644153063104E-3</v>
      </c>
      <c r="M69" s="2"/>
      <c r="N69" s="2"/>
      <c r="O69" s="2"/>
      <c r="P69" s="2"/>
      <c r="Q69" s="2"/>
    </row>
    <row r="70" spans="1:17" x14ac:dyDescent="0.2">
      <c r="A70" s="1">
        <v>7.4951186692533396E-3</v>
      </c>
      <c r="B70" s="3">
        <v>5.0118473853251102E-3</v>
      </c>
      <c r="C70" s="3">
        <v>7.3620402101362004E-3</v>
      </c>
      <c r="D70" s="3">
        <v>6.1292965638957099E-3</v>
      </c>
      <c r="E70" s="3">
        <v>1.31615773979607E-2</v>
      </c>
      <c r="F70" s="3">
        <v>5.3636170501244897E-2</v>
      </c>
      <c r="G70" s="3">
        <v>2.0895666581465001E-2</v>
      </c>
      <c r="H70" s="3">
        <v>1.3163258308554301E-2</v>
      </c>
      <c r="I70" s="3">
        <v>7.8680380983531199E-3</v>
      </c>
      <c r="J70" s="3">
        <v>3.49834449657993E-3</v>
      </c>
      <c r="K70" s="3">
        <v>6.45140815089351E-3</v>
      </c>
      <c r="L70" s="3">
        <v>-8.6952685924164205E-3</v>
      </c>
      <c r="M70" s="2"/>
      <c r="N70" s="2"/>
      <c r="O70" s="2"/>
      <c r="P70" s="2"/>
      <c r="Q70" s="2"/>
    </row>
    <row r="71" spans="1:17" x14ac:dyDescent="0.2">
      <c r="A71" s="1">
        <v>-1.14749285303812E-2</v>
      </c>
      <c r="B71" s="3">
        <v>-9.3620639206741796E-3</v>
      </c>
      <c r="C71" s="3">
        <v>-1.0787605497954499E-2</v>
      </c>
      <c r="D71" s="3">
        <v>-1.02589834668895E-2</v>
      </c>
      <c r="E71" s="3">
        <v>-1.4940505371492101E-2</v>
      </c>
      <c r="F71" s="3">
        <v>-2.9572562093116402E-3</v>
      </c>
      <c r="G71" s="3">
        <v>-2.7552828927745999E-3</v>
      </c>
      <c r="H71" s="3">
        <v>1.90720099828789E-4</v>
      </c>
      <c r="I71" s="3">
        <v>6.0679327933374997E-3</v>
      </c>
      <c r="J71" s="3">
        <v>-1.29501787014214E-2</v>
      </c>
      <c r="K71" s="3">
        <v>-1.3041227299010799E-2</v>
      </c>
      <c r="L71" s="3">
        <v>-6.2123240124589696E-3</v>
      </c>
      <c r="M71" s="2"/>
      <c r="N71" s="2"/>
      <c r="O71" s="2"/>
      <c r="P71" s="2"/>
      <c r="Q71" s="2"/>
    </row>
    <row r="72" spans="1:17" x14ac:dyDescent="0.2">
      <c r="A72" s="1">
        <v>-1.6315693563471099E-2</v>
      </c>
      <c r="B72" s="3">
        <v>-1.40328898548007E-2</v>
      </c>
      <c r="C72" s="3">
        <v>-2.5510398619768001E-2</v>
      </c>
      <c r="D72" s="3">
        <v>-1.2145058375329899E-2</v>
      </c>
      <c r="E72" s="3">
        <v>-2.03735870029071E-2</v>
      </c>
      <c r="F72" s="3">
        <v>-1.5612243896675201E-2</v>
      </c>
      <c r="G72" s="3">
        <v>-1.7871531768355899E-2</v>
      </c>
      <c r="H72" s="3">
        <v>-2.56585540718197E-2</v>
      </c>
      <c r="I72" s="3">
        <v>-1.2824682124501901E-2</v>
      </c>
      <c r="J72" s="3">
        <v>4.9871954053859399E-3</v>
      </c>
      <c r="K72" s="3">
        <v>-1.30835060848699E-3</v>
      </c>
      <c r="L72" s="3">
        <v>-5.7220043017309702E-3</v>
      </c>
      <c r="M72" s="2"/>
      <c r="N72" s="2"/>
      <c r="O72" s="2"/>
      <c r="P72" s="2"/>
      <c r="Q72" s="2"/>
    </row>
    <row r="73" spans="1:17" x14ac:dyDescent="0.2">
      <c r="A73" s="1">
        <v>1.6370592586855501E-2</v>
      </c>
      <c r="B73" s="3">
        <v>7.0006840718690403E-3</v>
      </c>
      <c r="C73" s="3">
        <v>1.8359481293803201E-2</v>
      </c>
      <c r="D73" s="3">
        <v>8.1701566377141398E-3</v>
      </c>
      <c r="E73" s="3">
        <v>2.0687412932729601E-2</v>
      </c>
      <c r="F73" s="3">
        <v>-2.61782358645525E-2</v>
      </c>
      <c r="G73" s="3">
        <v>-7.0838653607774296E-3</v>
      </c>
      <c r="H73" s="3">
        <v>-1.64006702975425E-2</v>
      </c>
      <c r="I73" s="3">
        <v>-1.4171748032599501E-2</v>
      </c>
      <c r="J73" s="3">
        <v>-1.03191899594845E-4</v>
      </c>
      <c r="K73" s="3">
        <v>-2.5143144778190001E-2</v>
      </c>
      <c r="L73" s="3">
        <v>-3.35346393677027E-3</v>
      </c>
      <c r="M73" s="2"/>
      <c r="N73" s="2"/>
      <c r="O73" s="2"/>
      <c r="P73" s="2"/>
      <c r="Q73" s="2"/>
    </row>
    <row r="74" spans="1:17" x14ac:dyDescent="0.2">
      <c r="A74" s="1">
        <v>1.6325719182898199E-2</v>
      </c>
      <c r="B74" s="3">
        <v>2.4325769961549702E-2</v>
      </c>
      <c r="C74" s="3">
        <v>1.6184998506785401E-2</v>
      </c>
      <c r="D74" s="3">
        <v>5.5175951119375002E-3</v>
      </c>
      <c r="E74" s="3">
        <v>1.1873733233784999E-2</v>
      </c>
      <c r="F74" s="3">
        <v>1.09919334817867E-2</v>
      </c>
      <c r="G74" s="3">
        <v>1.10061814700568E-3</v>
      </c>
      <c r="H74" s="3">
        <v>2.87436073514113E-4</v>
      </c>
      <c r="I74" s="3">
        <v>1.9378056479846199E-2</v>
      </c>
      <c r="J74" s="3">
        <v>1.3423475488008201E-2</v>
      </c>
      <c r="K74" s="3">
        <v>1.67184499979951E-2</v>
      </c>
      <c r="L74" s="3">
        <v>5.62202684263191E-3</v>
      </c>
      <c r="M74" s="2"/>
      <c r="N74" s="2"/>
      <c r="O74" s="2"/>
      <c r="P74" s="2"/>
      <c r="Q74" s="2"/>
    </row>
    <row r="75" spans="1:17" x14ac:dyDescent="0.2">
      <c r="A75" s="1">
        <v>7.1885312093726804E-3</v>
      </c>
      <c r="B75" s="3">
        <v>1.1163611403606799E-2</v>
      </c>
      <c r="C75" s="3">
        <v>1.4652047758149499E-2</v>
      </c>
      <c r="D75" s="3">
        <v>1.41109596733743E-2</v>
      </c>
      <c r="E75" s="3">
        <v>8.8839127815747397E-3</v>
      </c>
      <c r="F75" s="3">
        <v>-2.09437905251075E-3</v>
      </c>
      <c r="G75" s="3">
        <v>1.32412040817355E-2</v>
      </c>
      <c r="H75" s="3">
        <v>1.9669501151112299E-2</v>
      </c>
      <c r="I75" s="3">
        <v>2.3340626551349601E-2</v>
      </c>
      <c r="J75" s="3">
        <v>1.43808908282672E-2</v>
      </c>
      <c r="K75" s="3">
        <v>9.0589351850829392E-3</v>
      </c>
      <c r="L75" s="3">
        <v>3.2886635684304902E-2</v>
      </c>
      <c r="M75" s="2"/>
      <c r="N75" s="2"/>
      <c r="O75" s="2"/>
      <c r="P75" s="2"/>
      <c r="Q75" s="2"/>
    </row>
    <row r="76" spans="1:17" x14ac:dyDescent="0.2">
      <c r="A76" s="1">
        <v>-1.76724904872347E-2</v>
      </c>
      <c r="B76" s="3">
        <v>5.9840621948148399E-4</v>
      </c>
      <c r="C76" s="3">
        <v>-1.2831408114925001E-2</v>
      </c>
      <c r="D76" s="3">
        <v>1.6778447335469699E-2</v>
      </c>
      <c r="E76" s="3">
        <v>-8.1182947888302995E-3</v>
      </c>
      <c r="F76" s="3">
        <v>-1.1513503181852501E-3</v>
      </c>
      <c r="G76" s="3">
        <v>-4.2235071836642596E-3</v>
      </c>
      <c r="H76" s="3">
        <v>-3.2345492082876898E-3</v>
      </c>
      <c r="I76" s="3">
        <v>-6.5690621722109804E-3</v>
      </c>
      <c r="J76" s="3">
        <v>-6.0150798266187496E-3</v>
      </c>
      <c r="K76" s="3">
        <v>-1.3417872880820501E-2</v>
      </c>
      <c r="L76" s="3">
        <v>-4.0239951703755399E-3</v>
      </c>
      <c r="M76" s="2"/>
      <c r="N76" s="2"/>
      <c r="O76" s="2"/>
      <c r="P76" s="2"/>
      <c r="Q76" s="2"/>
    </row>
    <row r="77" spans="1:17" x14ac:dyDescent="0.2">
      <c r="A77" s="1">
        <v>-8.6770399892330801E-3</v>
      </c>
      <c r="B77" s="3">
        <v>1.3826485447738701E-3</v>
      </c>
      <c r="C77" s="3">
        <v>7.4247330750774002E-3</v>
      </c>
      <c r="D77" s="3">
        <v>1.44342845325979E-2</v>
      </c>
      <c r="E77" s="3">
        <v>5.6323281329166896E-3</v>
      </c>
      <c r="F77" s="3">
        <v>-2.30620225603408E-2</v>
      </c>
      <c r="G77" s="3">
        <v>-2.6186770148923701E-3</v>
      </c>
      <c r="H77" s="3">
        <v>-3.2239520689146497E-2</v>
      </c>
      <c r="I77" s="3">
        <v>-1.8343323808673801E-3</v>
      </c>
      <c r="J77" s="3">
        <v>6.0594300133676095E-4</v>
      </c>
      <c r="K77" s="3">
        <v>-1.46607788063599E-2</v>
      </c>
      <c r="L77" s="3">
        <v>5.1559798023941197E-3</v>
      </c>
      <c r="M77" s="2"/>
      <c r="N77" s="2"/>
      <c r="O77" s="2"/>
      <c r="P77" s="2"/>
      <c r="Q77" s="2"/>
    </row>
    <row r="78" spans="1:17" x14ac:dyDescent="0.2">
      <c r="A78" s="1">
        <v>8.0020523063544201E-3</v>
      </c>
      <c r="B78" s="3">
        <v>-8.59435632626648E-3</v>
      </c>
      <c r="C78" s="3">
        <v>1.03527740991309E-2</v>
      </c>
      <c r="D78" s="3">
        <v>-4.78357351984093E-3</v>
      </c>
      <c r="E78" s="3">
        <v>-3.3347798008571601E-3</v>
      </c>
      <c r="F78" s="3">
        <v>-1.1357144662548601E-2</v>
      </c>
      <c r="G78" s="3">
        <v>-1.30731918551665E-2</v>
      </c>
      <c r="H78" s="3">
        <v>-8.6765207807992795E-3</v>
      </c>
      <c r="I78" s="3">
        <v>-1.15996280122876E-2</v>
      </c>
      <c r="J78" s="3">
        <v>-2.8966457241750201E-3</v>
      </c>
      <c r="K78" s="3">
        <v>-1.0511123438270401E-3</v>
      </c>
      <c r="L78" s="3">
        <v>-5.6087207859982701E-3</v>
      </c>
      <c r="M78" s="2"/>
      <c r="N78" s="2"/>
      <c r="O78" s="2"/>
      <c r="P78" s="2"/>
      <c r="Q78" s="2"/>
    </row>
    <row r="79" spans="1:17" x14ac:dyDescent="0.2">
      <c r="A79" s="1">
        <v>-1.43905293791883E-2</v>
      </c>
      <c r="B79" s="3">
        <v>7.8928129806303798E-3</v>
      </c>
      <c r="C79" s="3">
        <v>-1.7643942026526801E-2</v>
      </c>
      <c r="D79" s="3">
        <v>-4.9134779695096898E-3</v>
      </c>
      <c r="E79" s="3">
        <v>-5.8333772692593603E-3</v>
      </c>
      <c r="F79" s="3">
        <v>-1.6941071176091099E-2</v>
      </c>
      <c r="G79" s="3">
        <v>-7.12538053948819E-3</v>
      </c>
      <c r="H79" s="3">
        <v>-1.4170401204950301E-2</v>
      </c>
      <c r="I79" s="3">
        <v>2.4547021596681398E-3</v>
      </c>
      <c r="J79" s="3">
        <v>-1.5431530652227901E-3</v>
      </c>
      <c r="K79" s="3">
        <v>-8.2319572190485604E-3</v>
      </c>
      <c r="L79" s="3">
        <v>-8.8240614741188494E-3</v>
      </c>
      <c r="M79" s="2"/>
      <c r="N79" s="2"/>
      <c r="O79" s="2"/>
      <c r="P79" s="2"/>
      <c r="Q79" s="2"/>
    </row>
    <row r="80" spans="1:17" x14ac:dyDescent="0.2">
      <c r="A80" s="1">
        <v>7.4541352734398504E-3</v>
      </c>
      <c r="B80" s="3">
        <v>6.2547903868213003E-3</v>
      </c>
      <c r="C80" s="3">
        <v>-4.4918870465577802E-3</v>
      </c>
      <c r="D80" s="3">
        <v>-3.47922049794457E-3</v>
      </c>
      <c r="E80" s="3">
        <v>3.4158113951598902E-4</v>
      </c>
      <c r="F80" s="3">
        <v>3.25886185557799E-3</v>
      </c>
      <c r="G80" s="3">
        <v>-6.69027954048551E-3</v>
      </c>
      <c r="H80" s="3">
        <v>-1.8044118270314099E-2</v>
      </c>
      <c r="I80" s="3">
        <v>1.6193776833791598E-2</v>
      </c>
      <c r="J80" s="3">
        <v>1.3938558848842701E-3</v>
      </c>
      <c r="K80" s="3">
        <v>-1.2985745000538101E-2</v>
      </c>
      <c r="L80" s="3">
        <v>-4.2402122044982101E-4</v>
      </c>
      <c r="M80" s="2"/>
      <c r="N80" s="2"/>
      <c r="O80" s="2"/>
      <c r="P80" s="2"/>
      <c r="Q80" s="2"/>
    </row>
    <row r="81" spans="1:17" x14ac:dyDescent="0.2">
      <c r="A81" s="1">
        <v>3.0800838734839002E-3</v>
      </c>
      <c r="B81" s="3">
        <v>3.57306573134397E-3</v>
      </c>
      <c r="C81" s="3">
        <v>1.9531975907058899E-3</v>
      </c>
      <c r="D81" s="3">
        <v>3.21877247698143E-3</v>
      </c>
      <c r="E81" s="3">
        <v>1.1257176443158099E-2</v>
      </c>
      <c r="F81" s="3">
        <v>4.5944514438287501E-3</v>
      </c>
      <c r="G81" s="3">
        <v>1.4475216164173601E-3</v>
      </c>
      <c r="H81" s="3">
        <v>-1.37474823038807E-3</v>
      </c>
      <c r="I81" s="3">
        <v>3.1792397827272701E-3</v>
      </c>
      <c r="J81" s="3">
        <v>1.4732471014999801E-3</v>
      </c>
      <c r="K81" s="3">
        <v>-1.9598258609523299E-3</v>
      </c>
      <c r="L81" s="3">
        <v>-4.6076046333522998E-3</v>
      </c>
      <c r="M81" s="2"/>
      <c r="N81" s="2"/>
      <c r="O81" s="2"/>
      <c r="P81" s="2"/>
      <c r="Q81" s="2"/>
    </row>
    <row r="82" spans="1:17" x14ac:dyDescent="0.2">
      <c r="A82" s="10">
        <v>-6.5861388799604001E-5</v>
      </c>
      <c r="B82" s="3">
        <v>-4.7925643448849496E-3</v>
      </c>
      <c r="C82" s="3">
        <v>1.5914679055917199E-3</v>
      </c>
      <c r="D82" s="3">
        <v>-4.06974186695685E-3</v>
      </c>
      <c r="E82" s="3">
        <v>-2.22901723059054E-4</v>
      </c>
      <c r="F82" s="3">
        <v>3.1691489478768899E-3</v>
      </c>
      <c r="G82" s="3">
        <v>2.5651901449386099E-3</v>
      </c>
      <c r="H82" s="3">
        <v>-1.8690665376022101E-3</v>
      </c>
      <c r="I82" s="3">
        <v>3.4528126334094598E-3</v>
      </c>
      <c r="J82" s="3">
        <v>-2.43885036175872E-3</v>
      </c>
      <c r="K82" s="3">
        <v>1.5887178119209299E-3</v>
      </c>
      <c r="L82" s="3">
        <v>3.8136451141479399E-3</v>
      </c>
      <c r="M82" s="2"/>
      <c r="N82" s="2"/>
      <c r="O82" s="2"/>
      <c r="P82" s="2"/>
      <c r="Q82" s="2"/>
    </row>
    <row r="83" spans="1:17" x14ac:dyDescent="0.2">
      <c r="A83" s="1">
        <v>-1.09072314728142E-3</v>
      </c>
      <c r="B83" s="3">
        <v>-1.4431617932494799E-2</v>
      </c>
      <c r="C83" s="3">
        <v>-2.5644610202164501E-3</v>
      </c>
      <c r="D83" s="3">
        <v>-1.8521178110909101E-2</v>
      </c>
      <c r="E83" s="3">
        <v>-7.2581796382486996E-3</v>
      </c>
      <c r="F83" s="3">
        <v>-1.38854584303935E-2</v>
      </c>
      <c r="G83" s="3">
        <v>-3.0647429491162701E-2</v>
      </c>
      <c r="H83" s="3">
        <v>1.3804750452945901E-3</v>
      </c>
      <c r="I83" s="3">
        <v>-2.0780533117211199E-2</v>
      </c>
      <c r="J83" s="3">
        <v>1.20998456294578E-2</v>
      </c>
      <c r="K83" s="3">
        <v>-3.1924234040199E-2</v>
      </c>
      <c r="L83" s="3">
        <v>-2.1852687514360902E-3</v>
      </c>
      <c r="M83" s="2"/>
      <c r="N83" s="2"/>
      <c r="O83" s="2"/>
      <c r="P83" s="2"/>
      <c r="Q83" s="2"/>
    </row>
    <row r="85" spans="1:17" x14ac:dyDescent="0.2">
      <c r="A85">
        <f>AVERAGE(A1:A83)</f>
        <v>1.9716966735249166E-3</v>
      </c>
      <c r="B85">
        <f t="shared" ref="B85:L85" si="0">AVERAGE(B1:B83)</f>
        <v>1.6017995063245724E-3</v>
      </c>
      <c r="C85">
        <f t="shared" si="0"/>
        <v>2.2274910083261985E-3</v>
      </c>
      <c r="D85">
        <f t="shared" si="0"/>
        <v>2.9584222093203055E-3</v>
      </c>
      <c r="E85">
        <f t="shared" si="0"/>
        <v>2.8037995495158209E-3</v>
      </c>
      <c r="F85">
        <f t="shared" si="0"/>
        <v>2.4098420660572098E-3</v>
      </c>
      <c r="G85">
        <f t="shared" si="0"/>
        <v>1.6218346764643517E-3</v>
      </c>
      <c r="H85">
        <f t="shared" si="0"/>
        <v>1.80353866080579E-3</v>
      </c>
      <c r="I85" s="5">
        <f t="shared" si="0"/>
        <v>2.2708908383653479E-3</v>
      </c>
      <c r="J85">
        <f t="shared" si="0"/>
        <v>2.4694906598445128E-3</v>
      </c>
      <c r="K85">
        <f t="shared" si="0"/>
        <v>2.2243761036163387E-3</v>
      </c>
      <c r="L85">
        <f t="shared" si="0"/>
        <v>2.9070327221791025E-3</v>
      </c>
      <c r="M85">
        <f>MIN(A1:L83)</f>
        <v>-5.3919146577999302E-2</v>
      </c>
    </row>
    <row r="86" spans="1:17" x14ac:dyDescent="0.2">
      <c r="A86">
        <f>MIN(A1:A83)</f>
        <v>-5.16021011111285E-2</v>
      </c>
      <c r="B86">
        <f t="shared" ref="B86:L86" si="1">MIN(B1:B83)</f>
        <v>-5.0341356629390203E-2</v>
      </c>
      <c r="C86">
        <f t="shared" si="1"/>
        <v>-4.2203719440621498E-2</v>
      </c>
      <c r="D86">
        <f t="shared" si="1"/>
        <v>-3.4362391765658501E-2</v>
      </c>
      <c r="E86">
        <f t="shared" si="1"/>
        <v>-2.5133667023614401E-2</v>
      </c>
      <c r="F86">
        <f t="shared" si="1"/>
        <v>-5.1134545492492897E-2</v>
      </c>
      <c r="G86">
        <f t="shared" si="1"/>
        <v>-3.0647429491162701E-2</v>
      </c>
      <c r="H86">
        <f t="shared" si="1"/>
        <v>-3.2239520689146497E-2</v>
      </c>
      <c r="I86" s="5">
        <f t="shared" si="1"/>
        <v>-5.3919146577999302E-2</v>
      </c>
      <c r="J86">
        <f t="shared" si="1"/>
        <v>-3.6890651404114898E-2</v>
      </c>
      <c r="K86">
        <f t="shared" si="1"/>
        <v>-3.1924234040199E-2</v>
      </c>
      <c r="L86">
        <f t="shared" si="1"/>
        <v>-3.6000950301023897E-2</v>
      </c>
      <c r="M86">
        <f>MAX(A2:L84)</f>
        <v>5.3636170501244897E-2</v>
      </c>
    </row>
    <row r="87" spans="1:17" x14ac:dyDescent="0.2">
      <c r="A87">
        <f>MAX(A2:A84)</f>
        <v>3.59277913404858E-2</v>
      </c>
      <c r="B87">
        <f t="shared" ref="B87:L87" si="2">MAX(B2:B84)</f>
        <v>4.2618431677627001E-2</v>
      </c>
      <c r="C87">
        <f t="shared" si="2"/>
        <v>4.4276007841334002E-2</v>
      </c>
      <c r="D87">
        <f t="shared" si="2"/>
        <v>4.1863223757947203E-2</v>
      </c>
      <c r="E87">
        <f t="shared" si="2"/>
        <v>4.2271567612867503E-2</v>
      </c>
      <c r="F87">
        <f t="shared" si="2"/>
        <v>5.3636170501244897E-2</v>
      </c>
      <c r="G87">
        <f t="shared" si="2"/>
        <v>3.9045934632903498E-2</v>
      </c>
      <c r="H87">
        <f t="shared" si="2"/>
        <v>3.28946384177932E-2</v>
      </c>
      <c r="I87" s="5">
        <f t="shared" si="2"/>
        <v>3.1082539201600499E-2</v>
      </c>
      <c r="J87">
        <f t="shared" si="2"/>
        <v>2.55088335244371E-2</v>
      </c>
      <c r="K87">
        <f t="shared" si="2"/>
        <v>3.3070369214721097E-2</v>
      </c>
      <c r="L87">
        <f t="shared" si="2"/>
        <v>3.6227170277847102E-2</v>
      </c>
    </row>
    <row r="89" spans="1:17" x14ac:dyDescent="0.2">
      <c r="A89">
        <v>46</v>
      </c>
      <c r="B89">
        <v>44</v>
      </c>
      <c r="C89">
        <v>49</v>
      </c>
      <c r="D89">
        <v>52</v>
      </c>
      <c r="E89">
        <v>50</v>
      </c>
      <c r="F89">
        <v>51</v>
      </c>
      <c r="G89">
        <v>45</v>
      </c>
      <c r="H89">
        <v>46</v>
      </c>
      <c r="I89">
        <v>46</v>
      </c>
      <c r="J89">
        <v>45</v>
      </c>
      <c r="K89">
        <v>49</v>
      </c>
      <c r="L89">
        <v>47</v>
      </c>
    </row>
    <row r="90" spans="1:17" x14ac:dyDescent="0.2">
      <c r="A90" s="5">
        <f t="shared" ref="A90:L90" si="3">COUNTIF(A1:A83,"&lt;=0")</f>
        <v>37</v>
      </c>
      <c r="B90" s="5">
        <f t="shared" si="3"/>
        <v>39</v>
      </c>
      <c r="C90" s="5">
        <f t="shared" si="3"/>
        <v>34</v>
      </c>
      <c r="D90" s="5">
        <f t="shared" si="3"/>
        <v>31</v>
      </c>
      <c r="E90" s="11">
        <f t="shared" si="3"/>
        <v>33</v>
      </c>
      <c r="F90" s="5">
        <f t="shared" si="3"/>
        <v>32</v>
      </c>
      <c r="G90" s="5">
        <f t="shared" si="3"/>
        <v>38</v>
      </c>
      <c r="H90" s="5">
        <f t="shared" si="3"/>
        <v>37</v>
      </c>
      <c r="I90" s="5">
        <f>COUNTIF(I1:I83,"&lt;=0")</f>
        <v>37</v>
      </c>
      <c r="J90" s="5">
        <f t="shared" si="3"/>
        <v>38</v>
      </c>
      <c r="K90" s="5">
        <f t="shared" si="3"/>
        <v>34</v>
      </c>
      <c r="L90" s="5">
        <f t="shared" si="3"/>
        <v>36</v>
      </c>
    </row>
  </sheetData>
  <dataConsolidate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B190-F344-4A47-9744-53B791443EDB}">
  <dimension ref="A1:B12"/>
  <sheetViews>
    <sheetView workbookViewId="0">
      <selection activeCell="E13" sqref="E13"/>
    </sheetView>
  </sheetViews>
  <sheetFormatPr baseColWidth="10" defaultRowHeight="16" x14ac:dyDescent="0.2"/>
  <cols>
    <col min="1" max="1" width="27.6640625" bestFit="1" customWidth="1"/>
  </cols>
  <sheetData>
    <row r="1" spans="1:2" x14ac:dyDescent="0.2">
      <c r="A1" s="1" t="s">
        <v>11</v>
      </c>
      <c r="B1" s="1">
        <v>2.0610223495219899</v>
      </c>
    </row>
    <row r="2" spans="1:2" x14ac:dyDescent="0.2">
      <c r="A2" s="1" t="s">
        <v>3</v>
      </c>
      <c r="B2" s="3">
        <v>1.9421114609961101</v>
      </c>
    </row>
    <row r="3" spans="1:2" x14ac:dyDescent="0.2">
      <c r="A3" s="1" t="s">
        <v>4</v>
      </c>
      <c r="B3" s="3">
        <v>1.88295900473744</v>
      </c>
    </row>
    <row r="4" spans="1:2" x14ac:dyDescent="0.2">
      <c r="A4" s="1" t="s">
        <v>9</v>
      </c>
      <c r="B4" s="3">
        <v>1.74275330589605</v>
      </c>
    </row>
    <row r="5" spans="1:2" x14ac:dyDescent="0.2">
      <c r="A5" s="1" t="s">
        <v>10</v>
      </c>
      <c r="B5" s="3">
        <v>1.4927054245259199</v>
      </c>
    </row>
    <row r="6" spans="1:2" x14ac:dyDescent="0.2">
      <c r="A6" s="1" t="s">
        <v>8</v>
      </c>
      <c r="B6" s="3">
        <v>1.4539054444084401</v>
      </c>
    </row>
    <row r="7" spans="1:2" x14ac:dyDescent="0.2">
      <c r="A7" s="1" t="s">
        <v>5</v>
      </c>
      <c r="B7" s="3">
        <v>1.35764849934387</v>
      </c>
    </row>
    <row r="8" spans="1:2" x14ac:dyDescent="0.2">
      <c r="A8" s="1" t="s">
        <v>0</v>
      </c>
      <c r="B8" s="3">
        <v>1.3079966683511799</v>
      </c>
    </row>
    <row r="9" spans="1:2" x14ac:dyDescent="0.2">
      <c r="A9" s="1" t="s">
        <v>2</v>
      </c>
      <c r="B9" s="3">
        <v>1.2703133586772399</v>
      </c>
    </row>
    <row r="10" spans="1:2" x14ac:dyDescent="0.2">
      <c r="A10" s="1" t="s">
        <v>7</v>
      </c>
      <c r="B10" s="3">
        <v>1.1798035137135401</v>
      </c>
    </row>
    <row r="11" spans="1:2" x14ac:dyDescent="0.2">
      <c r="A11" s="1" t="s">
        <v>6</v>
      </c>
      <c r="B11" s="3">
        <v>1.1177360782304799</v>
      </c>
    </row>
    <row r="12" spans="1:2" x14ac:dyDescent="0.2">
      <c r="A12" s="1" t="s">
        <v>1</v>
      </c>
      <c r="B12" s="3">
        <v>1.0128011345085901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8FBB-62FE-A94B-B840-2C45AB210672}">
  <dimension ref="A1:I31"/>
  <sheetViews>
    <sheetView zoomScale="140" workbookViewId="0">
      <selection activeCell="E18" sqref="E18"/>
    </sheetView>
  </sheetViews>
  <sheetFormatPr baseColWidth="10" defaultColWidth="13.83203125" defaultRowHeight="16" x14ac:dyDescent="0.2"/>
  <cols>
    <col min="2" max="2" width="14.83203125" customWidth="1"/>
    <col min="3" max="3" width="16" customWidth="1"/>
    <col min="4" max="4" width="14.83203125" customWidth="1"/>
    <col min="5" max="5" width="14.5" customWidth="1"/>
    <col min="6" max="6" width="15.5" customWidth="1"/>
    <col min="7" max="7" width="15.6640625" customWidth="1"/>
    <col min="8" max="8" width="14.5" bestFit="1" customWidth="1"/>
    <col min="9" max="9" width="21.83203125" bestFit="1" customWidth="1"/>
  </cols>
  <sheetData>
    <row r="1" spans="1:9" s="6" customFormat="1" ht="17" thickBot="1" x14ac:dyDescent="0.25">
      <c r="B1" s="7" t="s">
        <v>13</v>
      </c>
      <c r="C1" s="8" t="s">
        <v>14</v>
      </c>
      <c r="D1" s="8" t="s">
        <v>15</v>
      </c>
      <c r="E1" s="8" t="s">
        <v>12</v>
      </c>
      <c r="F1" s="8" t="s">
        <v>16</v>
      </c>
      <c r="G1" s="8" t="s">
        <v>17</v>
      </c>
      <c r="H1" s="8" t="s">
        <v>19</v>
      </c>
      <c r="I1" s="9" t="s">
        <v>18</v>
      </c>
    </row>
    <row r="2" spans="1:9" x14ac:dyDescent="0.2">
      <c r="A2">
        <v>1</v>
      </c>
      <c r="B2" s="3" t="s">
        <v>11</v>
      </c>
      <c r="C2" s="3">
        <v>2.9070327221790999E-3</v>
      </c>
      <c r="D2" s="3">
        <v>3.2160803293364098E-4</v>
      </c>
      <c r="E2" s="3">
        <v>5.7640827215337202E-3</v>
      </c>
      <c r="F2" s="3">
        <v>2.0610223495219899</v>
      </c>
      <c r="G2" s="3">
        <v>2.1234954468496801E-2</v>
      </c>
      <c r="H2" s="3">
        <v>56.626506024096301</v>
      </c>
      <c r="I2" s="3">
        <v>47</v>
      </c>
    </row>
    <row r="3" spans="1:9" x14ac:dyDescent="0.2">
      <c r="A3">
        <v>2</v>
      </c>
      <c r="B3" s="3" t="s">
        <v>3</v>
      </c>
      <c r="C3" s="3">
        <v>2.9584222093203098E-3</v>
      </c>
      <c r="D3" s="3">
        <v>1.07449694983138E-4</v>
      </c>
      <c r="E3" s="3">
        <v>6.0081076168909398E-3</v>
      </c>
      <c r="F3" s="3">
        <v>1.9421114609961101</v>
      </c>
      <c r="G3" s="3">
        <v>2.7778494358749298E-2</v>
      </c>
      <c r="H3" s="3">
        <v>62.650602409638502</v>
      </c>
      <c r="I3" s="3">
        <v>52</v>
      </c>
    </row>
    <row r="4" spans="1:9" x14ac:dyDescent="0.2">
      <c r="A4">
        <v>3</v>
      </c>
      <c r="B4" s="3" t="s">
        <v>4</v>
      </c>
      <c r="C4" s="3">
        <v>2.80379954951582E-3</v>
      </c>
      <c r="D4" s="4">
        <v>9.8366819588108101E-5</v>
      </c>
      <c r="E4" s="3">
        <v>5.9061243567011404E-3</v>
      </c>
      <c r="F4" s="3">
        <v>1.88295900473744</v>
      </c>
      <c r="G4" s="3">
        <v>3.1625916668466397E-2</v>
      </c>
      <c r="H4" s="3">
        <v>60.240963855421597</v>
      </c>
      <c r="I4" s="3">
        <v>50</v>
      </c>
    </row>
    <row r="5" spans="1:9" x14ac:dyDescent="0.2">
      <c r="A5">
        <v>4</v>
      </c>
      <c r="B5" s="3" t="s">
        <v>9</v>
      </c>
      <c r="C5" s="3">
        <v>2.4694906598445102E-3</v>
      </c>
      <c r="D5" s="3">
        <v>-3.6471904818150599E-4</v>
      </c>
      <c r="E5" s="3">
        <v>5.3326375736608596E-3</v>
      </c>
      <c r="F5" s="3">
        <v>1.74275330589605</v>
      </c>
      <c r="G5" s="3">
        <v>4.2562761926930599E-2</v>
      </c>
      <c r="H5" s="3">
        <v>54.216867469879503</v>
      </c>
      <c r="I5" s="3">
        <v>45</v>
      </c>
    </row>
    <row r="6" spans="1:9" x14ac:dyDescent="0.2">
      <c r="A6">
        <v>5</v>
      </c>
      <c r="B6" s="3" t="s">
        <v>10</v>
      </c>
      <c r="C6" s="3">
        <v>2.22437610361634E-3</v>
      </c>
      <c r="D6" s="3">
        <v>-5.9424232114741805E-4</v>
      </c>
      <c r="E6" s="3">
        <v>5.31569057228357E-3</v>
      </c>
      <c r="F6" s="3">
        <v>1.4927054245259199</v>
      </c>
      <c r="G6" s="3">
        <v>6.9676001023816297E-2</v>
      </c>
      <c r="H6" s="3">
        <v>59.036144578313198</v>
      </c>
      <c r="I6" s="3">
        <v>49</v>
      </c>
    </row>
    <row r="7" spans="1:9" x14ac:dyDescent="0.2">
      <c r="A7">
        <v>6</v>
      </c>
      <c r="B7" s="3" t="s">
        <v>8</v>
      </c>
      <c r="C7" s="3">
        <v>2.27089083836535E-3</v>
      </c>
      <c r="D7" s="3">
        <v>-1.0185070772453901E-3</v>
      </c>
      <c r="E7" s="3">
        <v>5.24730145217617E-3</v>
      </c>
      <c r="F7" s="3">
        <v>1.4539054444084401</v>
      </c>
      <c r="G7" s="3">
        <v>7.4894681181792599E-2</v>
      </c>
      <c r="H7" s="3">
        <v>55.421686746987902</v>
      </c>
      <c r="I7" s="3">
        <v>46</v>
      </c>
    </row>
    <row r="8" spans="1:9" x14ac:dyDescent="0.2">
      <c r="A8">
        <v>7</v>
      </c>
      <c r="B8" s="3" t="s">
        <v>5</v>
      </c>
      <c r="C8" s="3">
        <v>2.4098420660572102E-3</v>
      </c>
      <c r="D8" s="3">
        <v>-9.88646298863422E-4</v>
      </c>
      <c r="E8" s="3">
        <v>5.9228270893251301E-3</v>
      </c>
      <c r="F8" s="3">
        <v>1.35764849934387</v>
      </c>
      <c r="G8" s="3">
        <v>8.9149891718954904E-2</v>
      </c>
      <c r="H8" s="3">
        <v>61.445783132530103</v>
      </c>
      <c r="I8" s="3">
        <v>51</v>
      </c>
    </row>
    <row r="9" spans="1:9" x14ac:dyDescent="0.2">
      <c r="A9">
        <v>8</v>
      </c>
      <c r="B9" s="3" t="s">
        <v>0</v>
      </c>
      <c r="C9" s="3">
        <v>1.9716966735249201E-3</v>
      </c>
      <c r="D9" s="3">
        <v>-1.12115872099642E-3</v>
      </c>
      <c r="E9" s="3">
        <v>4.8220613411316497E-3</v>
      </c>
      <c r="F9" s="3">
        <v>1.3079966683511799</v>
      </c>
      <c r="G9" s="3">
        <v>9.7264692645745901E-2</v>
      </c>
      <c r="H9" s="3">
        <v>55.421686746987902</v>
      </c>
      <c r="I9" s="3">
        <v>46</v>
      </c>
    </row>
    <row r="10" spans="1:9" x14ac:dyDescent="0.2">
      <c r="A10">
        <v>9</v>
      </c>
      <c r="B10" s="3" t="s">
        <v>2</v>
      </c>
      <c r="C10" s="3">
        <v>2.2274910083261998E-3</v>
      </c>
      <c r="D10" s="3">
        <v>-1.4224960495707901E-3</v>
      </c>
      <c r="E10" s="3">
        <v>5.7123746030855E-3</v>
      </c>
      <c r="F10" s="3">
        <v>1.2703133586772399</v>
      </c>
      <c r="G10" s="3">
        <v>0.103782815235214</v>
      </c>
      <c r="H10" s="3">
        <v>59.036144578313198</v>
      </c>
      <c r="I10" s="3">
        <v>49</v>
      </c>
    </row>
    <row r="11" spans="1:9" x14ac:dyDescent="0.2">
      <c r="A11">
        <v>10</v>
      </c>
      <c r="B11" s="3" t="s">
        <v>7</v>
      </c>
      <c r="C11" s="3">
        <v>1.80353866080579E-3</v>
      </c>
      <c r="D11" s="3">
        <v>-9.3452102927552504E-4</v>
      </c>
      <c r="E11" s="3">
        <v>4.7458935028794101E-3</v>
      </c>
      <c r="F11" s="3">
        <v>1.1798035137135401</v>
      </c>
      <c r="G11" s="3">
        <v>0.120744925344469</v>
      </c>
      <c r="H11" s="3">
        <v>55.421686746987902</v>
      </c>
      <c r="I11" s="3">
        <v>46</v>
      </c>
    </row>
    <row r="12" spans="1:9" x14ac:dyDescent="0.2">
      <c r="A12">
        <v>11</v>
      </c>
      <c r="B12" s="3" t="s">
        <v>6</v>
      </c>
      <c r="C12" s="3">
        <v>1.62183467646435E-3</v>
      </c>
      <c r="D12" s="3">
        <v>-1.3328629169371E-3</v>
      </c>
      <c r="E12" s="3">
        <v>4.4725715082349002E-3</v>
      </c>
      <c r="F12" s="3">
        <v>1.1177360782304799</v>
      </c>
      <c r="G12" s="3">
        <v>0.133471904686707</v>
      </c>
      <c r="H12" s="3">
        <v>54.216867469879503</v>
      </c>
      <c r="I12" s="3">
        <v>45</v>
      </c>
    </row>
    <row r="13" spans="1:9" x14ac:dyDescent="0.2">
      <c r="A13">
        <v>12</v>
      </c>
      <c r="B13" s="3" t="s">
        <v>1</v>
      </c>
      <c r="C13" s="3">
        <v>1.60179950632457E-3</v>
      </c>
      <c r="D13" s="3">
        <v>-1.28340394163039E-3</v>
      </c>
      <c r="E13" s="3">
        <v>4.84431488421911E-3</v>
      </c>
      <c r="F13" s="3">
        <v>1.0128011345085901</v>
      </c>
      <c r="G13" s="3">
        <v>0.157067172495124</v>
      </c>
      <c r="H13" s="3">
        <v>53.012048192770997</v>
      </c>
      <c r="I13" s="3">
        <v>44</v>
      </c>
    </row>
    <row r="20" spans="2:9" x14ac:dyDescent="0.2">
      <c r="B20" s="1"/>
      <c r="C20" s="1"/>
      <c r="D20" s="1"/>
      <c r="E20" s="1"/>
      <c r="F20" s="1"/>
      <c r="G20" s="1"/>
      <c r="H20" s="1"/>
      <c r="I20" s="1"/>
    </row>
    <row r="21" spans="2:9" x14ac:dyDescent="0.2">
      <c r="B21" s="1"/>
      <c r="C21" s="3"/>
      <c r="D21" s="3"/>
      <c r="E21" s="3"/>
      <c r="F21" s="3"/>
      <c r="G21" s="3"/>
      <c r="H21" s="3"/>
      <c r="I21" s="3"/>
    </row>
    <row r="22" spans="2:9" x14ac:dyDescent="0.2">
      <c r="B22" s="1"/>
      <c r="C22" s="3"/>
      <c r="D22" s="4"/>
      <c r="E22" s="3"/>
      <c r="F22" s="3"/>
      <c r="G22" s="3"/>
      <c r="H22" s="3"/>
      <c r="I22" s="3"/>
    </row>
    <row r="23" spans="2:9" x14ac:dyDescent="0.2">
      <c r="B23" s="1"/>
      <c r="C23" s="3"/>
      <c r="D23" s="3"/>
      <c r="E23" s="3"/>
      <c r="F23" s="3"/>
      <c r="G23" s="3"/>
      <c r="H23" s="3"/>
      <c r="I23" s="3"/>
    </row>
    <row r="24" spans="2:9" x14ac:dyDescent="0.2">
      <c r="B24" s="1"/>
      <c r="C24" s="3"/>
      <c r="D24" s="3"/>
      <c r="E24" s="3"/>
      <c r="F24" s="3"/>
      <c r="G24" s="3"/>
      <c r="H24" s="3"/>
      <c r="I24" s="3"/>
    </row>
    <row r="25" spans="2:9" x14ac:dyDescent="0.2">
      <c r="B25" s="1"/>
      <c r="C25" s="3"/>
      <c r="D25" s="3"/>
      <c r="E25" s="3"/>
      <c r="F25" s="3"/>
      <c r="G25" s="3"/>
      <c r="H25" s="3"/>
      <c r="I25" s="3"/>
    </row>
    <row r="26" spans="2:9" x14ac:dyDescent="0.2">
      <c r="B26" s="1"/>
      <c r="C26" s="3"/>
      <c r="D26" s="3"/>
      <c r="E26" s="3"/>
      <c r="F26" s="3"/>
      <c r="G26" s="3"/>
      <c r="H26" s="3"/>
      <c r="I26" s="3"/>
    </row>
    <row r="27" spans="2:9" x14ac:dyDescent="0.2">
      <c r="B27" s="1"/>
      <c r="C27" s="3"/>
      <c r="D27" s="3"/>
      <c r="E27" s="3"/>
      <c r="F27" s="3"/>
      <c r="G27" s="3"/>
      <c r="H27" s="3"/>
      <c r="I27" s="3"/>
    </row>
    <row r="28" spans="2:9" x14ac:dyDescent="0.2">
      <c r="B28" s="1"/>
      <c r="C28" s="3"/>
      <c r="D28" s="3"/>
      <c r="E28" s="3"/>
      <c r="F28" s="3"/>
      <c r="G28" s="3"/>
      <c r="H28" s="3"/>
      <c r="I28" s="3"/>
    </row>
    <row r="29" spans="2:9" x14ac:dyDescent="0.2">
      <c r="B29" s="1"/>
      <c r="C29" s="3"/>
      <c r="D29" s="3"/>
      <c r="E29" s="3"/>
      <c r="F29" s="3"/>
      <c r="G29" s="3"/>
      <c r="H29" s="3"/>
      <c r="I29" s="3"/>
    </row>
    <row r="30" spans="2:9" x14ac:dyDescent="0.2">
      <c r="B30" s="1"/>
      <c r="C30" s="3"/>
      <c r="D30" s="3"/>
      <c r="E30" s="3"/>
      <c r="F30" s="3"/>
      <c r="G30" s="3"/>
      <c r="H30" s="3"/>
      <c r="I30" s="3"/>
    </row>
    <row r="31" spans="2:9" x14ac:dyDescent="0.2">
      <c r="B31" s="1"/>
      <c r="C31" s="3"/>
      <c r="D31" s="3"/>
      <c r="E31" s="3"/>
      <c r="F31" s="3"/>
      <c r="G31" s="3"/>
      <c r="H31" s="3"/>
      <c r="I31" s="3"/>
    </row>
  </sheetData>
  <sortState xmlns:xlrd2="http://schemas.microsoft.com/office/spreadsheetml/2017/richdata2" ref="A2:I13">
    <sortCondition ref="A1:A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0673-96F0-B14D-8E5B-150BA553C3BF}">
  <dimension ref="A1:E89"/>
  <sheetViews>
    <sheetView tabSelected="1" workbookViewId="0">
      <pane ySplit="1" topLeftCell="A55" activePane="bottomLeft" state="frozen"/>
      <selection pane="bottomLeft" activeCell="C93" sqref="C93"/>
    </sheetView>
  </sheetViews>
  <sheetFormatPr baseColWidth="10" defaultRowHeight="16" x14ac:dyDescent="0.2"/>
  <cols>
    <col min="1" max="1" width="12.1640625" bestFit="1" customWidth="1"/>
    <col min="2" max="2" width="13.33203125" bestFit="1" customWidth="1"/>
    <col min="3" max="3" width="12.1640625" bestFit="1" customWidth="1"/>
    <col min="4" max="4" width="11.83203125" bestFit="1" customWidth="1"/>
  </cols>
  <sheetData>
    <row r="1" spans="1:4" x14ac:dyDescent="0.2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">
      <c r="A2" s="1">
        <v>1.54116518922004</v>
      </c>
      <c r="B2" s="3">
        <v>0.47560975609756001</v>
      </c>
      <c r="C2" s="3">
        <v>1.51180254335613</v>
      </c>
      <c r="D2" s="3">
        <v>1</v>
      </c>
    </row>
    <row r="3" spans="1:4" x14ac:dyDescent="0.2">
      <c r="A3" s="1">
        <v>1.5331137797907299</v>
      </c>
      <c r="B3" s="3">
        <v>0.41463414634146301</v>
      </c>
      <c r="C3" s="3">
        <v>1.7919050939780099</v>
      </c>
      <c r="D3" s="3">
        <v>0</v>
      </c>
    </row>
    <row r="4" spans="1:4" x14ac:dyDescent="0.2">
      <c r="A4" s="1">
        <v>1.53422063596324</v>
      </c>
      <c r="B4" s="3">
        <v>0.47560975609756001</v>
      </c>
      <c r="C4" s="3">
        <v>1.7859674748000101</v>
      </c>
      <c r="D4" s="3">
        <v>0</v>
      </c>
    </row>
    <row r="5" spans="1:4" x14ac:dyDescent="0.2">
      <c r="A5" s="1">
        <v>1.54186592581116</v>
      </c>
      <c r="B5" s="3">
        <v>0.40243902439024298</v>
      </c>
      <c r="C5" s="3">
        <v>1.6828939902084901</v>
      </c>
      <c r="D5" s="3">
        <v>0</v>
      </c>
    </row>
    <row r="6" spans="1:4" x14ac:dyDescent="0.2">
      <c r="A6" s="1">
        <v>1.53462243806526</v>
      </c>
      <c r="B6" s="3">
        <v>0.37804878048780399</v>
      </c>
      <c r="C6" s="3">
        <v>1.7455404779688499</v>
      </c>
      <c r="D6" s="3">
        <v>0</v>
      </c>
    </row>
    <row r="7" spans="1:4" x14ac:dyDescent="0.2">
      <c r="A7" s="1">
        <v>1.5354406929647699</v>
      </c>
      <c r="B7" s="3">
        <v>0.41463414634146301</v>
      </c>
      <c r="C7" s="3">
        <v>1.5119070877213701</v>
      </c>
      <c r="D7" s="3">
        <v>0</v>
      </c>
    </row>
    <row r="8" spans="1:4" x14ac:dyDescent="0.2">
      <c r="A8" s="1">
        <v>1.53372007129813</v>
      </c>
      <c r="B8" s="3">
        <v>0.45121951219512102</v>
      </c>
      <c r="C8" s="3">
        <v>1.7588223684055599</v>
      </c>
      <c r="D8" s="3">
        <v>0</v>
      </c>
    </row>
    <row r="9" spans="1:4" x14ac:dyDescent="0.2">
      <c r="A9" s="1">
        <v>1.5395557892741401</v>
      </c>
      <c r="B9" s="3">
        <v>0.41463414634146301</v>
      </c>
      <c r="C9" s="3">
        <v>1.6555071304898701</v>
      </c>
      <c r="D9" s="3">
        <v>0</v>
      </c>
    </row>
    <row r="10" spans="1:4" x14ac:dyDescent="0.2">
      <c r="A10" s="1">
        <v>1.54045973184222</v>
      </c>
      <c r="B10" s="3">
        <v>0.40243902439024298</v>
      </c>
      <c r="C10" s="3">
        <v>1.73838475485227</v>
      </c>
      <c r="D10" s="3">
        <v>0</v>
      </c>
    </row>
    <row r="11" spans="1:4" x14ac:dyDescent="0.2">
      <c r="A11" s="1">
        <v>1.5418754752655599</v>
      </c>
      <c r="B11" s="3">
        <v>0.39024390243902402</v>
      </c>
      <c r="C11" s="3">
        <v>1.5396221699152901</v>
      </c>
      <c r="D11" s="3">
        <v>0</v>
      </c>
    </row>
    <row r="12" spans="1:4" x14ac:dyDescent="0.2">
      <c r="A12" s="1">
        <v>1.54057607037525</v>
      </c>
      <c r="B12" s="3">
        <v>0.52439024390243905</v>
      </c>
      <c r="C12" s="3">
        <v>1.4767231890947901</v>
      </c>
      <c r="D12" s="3">
        <v>1</v>
      </c>
    </row>
    <row r="13" spans="1:4" x14ac:dyDescent="0.2">
      <c r="A13" s="1">
        <v>1.5465721716534699</v>
      </c>
      <c r="B13" s="3">
        <v>0.40243902439024298</v>
      </c>
      <c r="C13" s="3">
        <v>1.58702152364309</v>
      </c>
      <c r="D13" s="3">
        <v>0</v>
      </c>
    </row>
    <row r="14" spans="1:4" x14ac:dyDescent="0.2">
      <c r="A14" s="1">
        <v>1.54399756998356</v>
      </c>
      <c r="B14" s="3">
        <v>0.37804878048780399</v>
      </c>
      <c r="C14" s="3">
        <v>1.5272833649689801</v>
      </c>
      <c r="D14" s="3">
        <v>0</v>
      </c>
    </row>
    <row r="15" spans="1:4" x14ac:dyDescent="0.2">
      <c r="A15" s="1">
        <v>1.52824530113046</v>
      </c>
      <c r="B15" s="3">
        <v>0.39024390243902402</v>
      </c>
      <c r="C15" s="3">
        <v>1.5411238900620601</v>
      </c>
      <c r="D15" s="3">
        <v>0</v>
      </c>
    </row>
    <row r="16" spans="1:4" x14ac:dyDescent="0.2">
      <c r="A16" s="1">
        <v>1.5374586267813799</v>
      </c>
      <c r="B16" s="3">
        <v>0.353658536585365</v>
      </c>
      <c r="C16" s="3">
        <v>1.50292242680629</v>
      </c>
      <c r="D16" s="3">
        <v>0</v>
      </c>
    </row>
    <row r="17" spans="1:4" x14ac:dyDescent="0.2">
      <c r="A17" s="1">
        <v>1.53679936473331</v>
      </c>
      <c r="B17" s="3">
        <v>0.46341463414634099</v>
      </c>
      <c r="C17" s="3">
        <v>1.79733085858596</v>
      </c>
      <c r="D17" s="3">
        <v>0</v>
      </c>
    </row>
    <row r="18" spans="1:4" x14ac:dyDescent="0.2">
      <c r="A18" s="1">
        <v>1.54584820288946</v>
      </c>
      <c r="B18" s="3">
        <v>0.45121951219512102</v>
      </c>
      <c r="C18" s="3">
        <v>1.4999179660100299</v>
      </c>
      <c r="D18" s="3">
        <v>1</v>
      </c>
    </row>
    <row r="19" spans="1:4" x14ac:dyDescent="0.2">
      <c r="A19" s="1">
        <v>1.53900752544026</v>
      </c>
      <c r="B19" s="3">
        <v>0.46341463414634099</v>
      </c>
      <c r="C19" s="3">
        <v>1.7009618061638601</v>
      </c>
      <c r="D19" s="3">
        <v>0</v>
      </c>
    </row>
    <row r="20" spans="1:4" x14ac:dyDescent="0.2">
      <c r="A20" s="1">
        <v>1.54282519536788</v>
      </c>
      <c r="B20" s="3">
        <v>0.42682926829268197</v>
      </c>
      <c r="C20" s="3">
        <v>1.73364031267935</v>
      </c>
      <c r="D20" s="3">
        <v>0</v>
      </c>
    </row>
    <row r="21" spans="1:4" x14ac:dyDescent="0.2">
      <c r="A21" s="1">
        <v>1.5405339951799899</v>
      </c>
      <c r="B21" s="3">
        <v>0.42682926829268197</v>
      </c>
      <c r="C21" s="3">
        <v>1.51565430744941</v>
      </c>
      <c r="D21" s="3">
        <v>0</v>
      </c>
    </row>
    <row r="22" spans="1:4" x14ac:dyDescent="0.2">
      <c r="A22" s="1">
        <v>1.5368132077674199</v>
      </c>
      <c r="B22" s="3">
        <v>0.51219512195121897</v>
      </c>
      <c r="C22" s="3">
        <v>1.51232476601681</v>
      </c>
      <c r="D22" s="3">
        <v>1</v>
      </c>
    </row>
    <row r="23" spans="1:4" x14ac:dyDescent="0.2">
      <c r="A23" s="1">
        <v>1.5138265037668099</v>
      </c>
      <c r="B23" s="3">
        <v>0.52439024390243905</v>
      </c>
      <c r="C23" s="3">
        <v>1.6806275730892699</v>
      </c>
      <c r="D23" s="3">
        <v>0</v>
      </c>
    </row>
    <row r="24" spans="1:4" x14ac:dyDescent="0.2">
      <c r="A24" s="1">
        <v>1.5405446261751601</v>
      </c>
      <c r="B24" s="3">
        <v>0.45121951219512102</v>
      </c>
      <c r="C24" s="3">
        <v>1.5092151937738401</v>
      </c>
      <c r="D24" s="3">
        <v>1</v>
      </c>
    </row>
    <row r="25" spans="1:4" x14ac:dyDescent="0.2">
      <c r="A25" s="1">
        <v>1.54017390040486</v>
      </c>
      <c r="B25" s="3">
        <v>0.45121951219512102</v>
      </c>
      <c r="C25" s="3">
        <v>1.50251541843537</v>
      </c>
      <c r="D25" s="3">
        <v>1</v>
      </c>
    </row>
    <row r="26" spans="1:4" x14ac:dyDescent="0.2">
      <c r="A26" s="1">
        <v>1.53270773238004</v>
      </c>
      <c r="B26" s="3">
        <v>0.47560975609756001</v>
      </c>
      <c r="C26" s="3">
        <v>1.76768931700231</v>
      </c>
      <c r="D26" s="3">
        <v>0</v>
      </c>
    </row>
    <row r="27" spans="1:4" x14ac:dyDescent="0.2">
      <c r="A27" s="1">
        <v>1.54131774997653</v>
      </c>
      <c r="B27" s="3">
        <v>0.39024390243902402</v>
      </c>
      <c r="C27" s="3">
        <v>1.6428204505859401</v>
      </c>
      <c r="D27" s="3">
        <v>0</v>
      </c>
    </row>
    <row r="28" spans="1:4" x14ac:dyDescent="0.2">
      <c r="A28" s="1">
        <v>1.54153067635904</v>
      </c>
      <c r="B28" s="3">
        <v>0.42682926829268197</v>
      </c>
      <c r="C28" s="3">
        <v>1.58095843409613</v>
      </c>
      <c r="D28" s="3">
        <v>0</v>
      </c>
    </row>
    <row r="29" spans="1:4" x14ac:dyDescent="0.2">
      <c r="A29" s="1">
        <v>1.54242727364641</v>
      </c>
      <c r="B29" s="3">
        <v>0.45121951219512102</v>
      </c>
      <c r="C29" s="3">
        <v>1.47751970124543</v>
      </c>
      <c r="D29" s="3">
        <v>1</v>
      </c>
    </row>
    <row r="30" spans="1:4" x14ac:dyDescent="0.2">
      <c r="A30" s="1">
        <v>1.5407995167358499</v>
      </c>
      <c r="B30" s="3">
        <v>0.42682926829268197</v>
      </c>
      <c r="C30" s="3">
        <v>1.7249564364682299</v>
      </c>
      <c r="D30" s="3">
        <v>0</v>
      </c>
    </row>
    <row r="31" spans="1:4" x14ac:dyDescent="0.2">
      <c r="A31" s="1">
        <v>1.5438703030873</v>
      </c>
      <c r="B31" s="3">
        <v>0.46341463414634099</v>
      </c>
      <c r="C31" s="3">
        <v>1.4361371905342699</v>
      </c>
      <c r="D31" s="3">
        <v>1</v>
      </c>
    </row>
    <row r="32" spans="1:4" x14ac:dyDescent="0.2">
      <c r="A32" s="1">
        <v>1.53922629977297</v>
      </c>
      <c r="B32" s="3">
        <v>0.40243902439024298</v>
      </c>
      <c r="C32" s="3">
        <v>1.7071917068237401</v>
      </c>
      <c r="D32" s="3">
        <v>0</v>
      </c>
    </row>
    <row r="33" spans="1:4" x14ac:dyDescent="0.2">
      <c r="A33" s="1">
        <v>1.54115051063727</v>
      </c>
      <c r="B33" s="3">
        <v>0.40243902439024298</v>
      </c>
      <c r="C33" s="3">
        <v>1.74010695002134</v>
      </c>
      <c r="D33" s="3">
        <v>0</v>
      </c>
    </row>
    <row r="34" spans="1:4" x14ac:dyDescent="0.2">
      <c r="A34" s="1">
        <v>1.546916948981</v>
      </c>
      <c r="B34" s="3">
        <v>0.39024390243902402</v>
      </c>
      <c r="C34" s="3">
        <v>1.5622294752964501</v>
      </c>
      <c r="D34" s="3">
        <v>0</v>
      </c>
    </row>
    <row r="35" spans="1:4" x14ac:dyDescent="0.2">
      <c r="A35" s="1">
        <v>1.5433256160284501</v>
      </c>
      <c r="B35" s="3">
        <v>0.36585365853658502</v>
      </c>
      <c r="C35" s="3">
        <v>1.56514425849903</v>
      </c>
      <c r="D35" s="3">
        <v>0</v>
      </c>
    </row>
    <row r="36" spans="1:4" x14ac:dyDescent="0.2">
      <c r="A36" s="1">
        <v>1.5395134624703299</v>
      </c>
      <c r="B36" s="3">
        <v>0.41463414634146301</v>
      </c>
      <c r="C36" s="3">
        <v>1.7819493465901399</v>
      </c>
      <c r="D36" s="3">
        <v>0</v>
      </c>
    </row>
    <row r="37" spans="1:4" x14ac:dyDescent="0.2">
      <c r="A37" s="1">
        <v>1.54409129341442</v>
      </c>
      <c r="B37" s="3">
        <v>0.39024390243902402</v>
      </c>
      <c r="C37" s="3">
        <v>1.64787065277143</v>
      </c>
      <c r="D37" s="3">
        <v>0</v>
      </c>
    </row>
    <row r="38" spans="1:4" x14ac:dyDescent="0.2">
      <c r="A38" s="1">
        <v>1.5401335394059601</v>
      </c>
      <c r="B38" s="3">
        <v>0.42682926829268197</v>
      </c>
      <c r="C38" s="3">
        <v>1.65698112798637</v>
      </c>
      <c r="D38" s="3">
        <v>0</v>
      </c>
    </row>
    <row r="39" spans="1:4" x14ac:dyDescent="0.2">
      <c r="A39" s="1">
        <v>1.5436400913237101</v>
      </c>
      <c r="B39" s="3">
        <v>0.46341463414634099</v>
      </c>
      <c r="C39" s="3">
        <v>1.44992425282784</v>
      </c>
      <c r="D39" s="3">
        <v>1</v>
      </c>
    </row>
    <row r="40" spans="1:4" x14ac:dyDescent="0.2">
      <c r="A40" s="1">
        <v>1.5440444484652101</v>
      </c>
      <c r="B40" s="3">
        <v>0.41463414634146301</v>
      </c>
      <c r="C40" s="3">
        <v>1.5923312238287799</v>
      </c>
      <c r="D40" s="3">
        <v>0</v>
      </c>
    </row>
    <row r="41" spans="1:4" x14ac:dyDescent="0.2">
      <c r="A41" s="1">
        <v>1.5303488232506</v>
      </c>
      <c r="B41" s="3">
        <v>0.45121951219512102</v>
      </c>
      <c r="C41" s="3">
        <v>1.7247871011957401</v>
      </c>
      <c r="D41" s="3">
        <v>0</v>
      </c>
    </row>
    <row r="42" spans="1:4" x14ac:dyDescent="0.2">
      <c r="A42" s="1">
        <v>1.5431846015395101</v>
      </c>
      <c r="B42" s="3">
        <v>0.45121951219512102</v>
      </c>
      <c r="C42" s="3">
        <v>1.47133861846267</v>
      </c>
      <c r="D42" s="3">
        <v>1</v>
      </c>
    </row>
    <row r="43" spans="1:4" x14ac:dyDescent="0.2">
      <c r="A43" s="1">
        <v>1.5459107110795201</v>
      </c>
      <c r="B43" s="3">
        <v>0.439024390243902</v>
      </c>
      <c r="C43" s="3">
        <v>1.68090378230046</v>
      </c>
      <c r="D43" s="3">
        <v>0</v>
      </c>
    </row>
    <row r="44" spans="1:4" x14ac:dyDescent="0.2">
      <c r="A44" s="1">
        <v>1.5394343567595099</v>
      </c>
      <c r="B44" s="3">
        <v>0.47560975609756001</v>
      </c>
      <c r="C44" s="3">
        <v>1.6154679149943001</v>
      </c>
      <c r="D44" s="3">
        <v>0</v>
      </c>
    </row>
    <row r="45" spans="1:4" x14ac:dyDescent="0.2">
      <c r="A45" s="1">
        <v>1.53713396584401</v>
      </c>
      <c r="B45" s="3">
        <v>0.48780487804877998</v>
      </c>
      <c r="C45" s="3">
        <v>1.44026008083157</v>
      </c>
      <c r="D45" s="3">
        <v>1</v>
      </c>
    </row>
    <row r="46" spans="1:4" x14ac:dyDescent="0.2">
      <c r="A46" s="1">
        <v>1.54001000053662</v>
      </c>
      <c r="B46" s="3">
        <v>0.5</v>
      </c>
      <c r="C46" s="3">
        <v>1.5138231911445299</v>
      </c>
      <c r="D46" s="3">
        <v>0</v>
      </c>
    </row>
    <row r="47" spans="1:4" x14ac:dyDescent="0.2">
      <c r="A47" s="1">
        <v>1.5403534503434699</v>
      </c>
      <c r="B47" s="3">
        <v>0.36585365853658502</v>
      </c>
      <c r="C47" s="3">
        <v>1.5936565385302801</v>
      </c>
      <c r="D47" s="3">
        <v>0</v>
      </c>
    </row>
    <row r="48" spans="1:4" x14ac:dyDescent="0.2">
      <c r="A48" s="1">
        <v>1.5394492921426</v>
      </c>
      <c r="B48" s="3">
        <v>0.45121951219512102</v>
      </c>
      <c r="C48" s="3">
        <v>1.66184739005406</v>
      </c>
      <c r="D48" s="3">
        <v>0</v>
      </c>
    </row>
    <row r="49" spans="1:4" x14ac:dyDescent="0.2">
      <c r="A49" s="1">
        <v>1.5442149717107501</v>
      </c>
      <c r="B49" s="3">
        <v>0.36585365853658502</v>
      </c>
      <c r="C49" s="3">
        <v>1.65613912415507</v>
      </c>
      <c r="D49" s="3">
        <v>0</v>
      </c>
    </row>
    <row r="50" spans="1:4" x14ac:dyDescent="0.2">
      <c r="A50" s="1">
        <v>1.5371358881541599</v>
      </c>
      <c r="B50" s="3">
        <v>0.48780487804877998</v>
      </c>
      <c r="C50" s="3">
        <v>1.46120832939969</v>
      </c>
      <c r="D50" s="3">
        <v>1</v>
      </c>
    </row>
    <row r="51" spans="1:4" x14ac:dyDescent="0.2">
      <c r="A51" s="1">
        <v>1.53366667013856</v>
      </c>
      <c r="B51" s="3">
        <v>0.45121951219512102</v>
      </c>
      <c r="C51" s="3">
        <v>1.79393080810007</v>
      </c>
      <c r="D51" s="3">
        <v>0</v>
      </c>
    </row>
    <row r="52" spans="1:4" x14ac:dyDescent="0.2">
      <c r="A52" s="1">
        <v>1.54022540195129</v>
      </c>
      <c r="B52" s="3">
        <v>0.40243902439024298</v>
      </c>
      <c r="C52" s="3">
        <v>1.8019146208268599</v>
      </c>
      <c r="D52" s="3">
        <v>0</v>
      </c>
    </row>
    <row r="53" spans="1:4" x14ac:dyDescent="0.2">
      <c r="A53" s="1">
        <v>1.5431929092412899</v>
      </c>
      <c r="B53" s="3">
        <v>0.46341463414634099</v>
      </c>
      <c r="C53" s="3">
        <v>1.5211184770520101</v>
      </c>
      <c r="D53" s="3">
        <v>0</v>
      </c>
    </row>
    <row r="54" spans="1:4" x14ac:dyDescent="0.2">
      <c r="A54" s="1">
        <v>1.54426245658612</v>
      </c>
      <c r="B54" s="3">
        <v>0.36585365853658502</v>
      </c>
      <c r="C54" s="3">
        <v>1.5224880021399001</v>
      </c>
      <c r="D54" s="3">
        <v>0</v>
      </c>
    </row>
    <row r="55" spans="1:4" x14ac:dyDescent="0.2">
      <c r="A55" s="1">
        <v>1.5382369479806499</v>
      </c>
      <c r="B55" s="3">
        <v>0.40243902439024298</v>
      </c>
      <c r="C55" s="3">
        <v>1.7037057108853</v>
      </c>
      <c r="D55" s="3">
        <v>0</v>
      </c>
    </row>
    <row r="56" spans="1:4" x14ac:dyDescent="0.2">
      <c r="A56" s="1">
        <v>1.54050137122085</v>
      </c>
      <c r="B56" s="3">
        <v>0.37804878048780399</v>
      </c>
      <c r="C56" s="3">
        <v>1.66856058633487</v>
      </c>
      <c r="D56" s="3">
        <v>0</v>
      </c>
    </row>
    <row r="57" spans="1:4" x14ac:dyDescent="0.2">
      <c r="A57" s="1">
        <v>1.5356244886919701</v>
      </c>
      <c r="B57" s="3">
        <v>0.46341463414634099</v>
      </c>
      <c r="C57" s="3">
        <v>1.68837953152709</v>
      </c>
      <c r="D57" s="3">
        <v>0</v>
      </c>
    </row>
    <row r="58" spans="1:4" x14ac:dyDescent="0.2">
      <c r="A58" s="1">
        <v>1.5467940187579401</v>
      </c>
      <c r="B58" s="3">
        <v>0.439024390243902</v>
      </c>
      <c r="C58" s="3">
        <v>1.7605643821256201</v>
      </c>
      <c r="D58" s="3">
        <v>0</v>
      </c>
    </row>
    <row r="59" spans="1:4" x14ac:dyDescent="0.2">
      <c r="A59" s="1">
        <v>1.53397583859022</v>
      </c>
      <c r="B59" s="3">
        <v>0.48780487804877998</v>
      </c>
      <c r="C59" s="3">
        <v>1.51596782687988</v>
      </c>
      <c r="D59" s="3">
        <v>0</v>
      </c>
    </row>
    <row r="60" spans="1:4" x14ac:dyDescent="0.2">
      <c r="A60" s="1">
        <v>1.5346972952372799</v>
      </c>
      <c r="B60" s="3">
        <v>0.36585365853658502</v>
      </c>
      <c r="C60" s="3">
        <v>1.55670208293311</v>
      </c>
      <c r="D60" s="3">
        <v>0</v>
      </c>
    </row>
    <row r="61" spans="1:4" x14ac:dyDescent="0.2">
      <c r="A61" s="1">
        <v>1.5363833648593099</v>
      </c>
      <c r="B61" s="3">
        <v>0.439024390243902</v>
      </c>
      <c r="C61" s="3">
        <v>1.51146823694119</v>
      </c>
      <c r="D61" s="3">
        <v>0</v>
      </c>
    </row>
    <row r="62" spans="1:4" x14ac:dyDescent="0.2">
      <c r="A62" s="1">
        <v>1.5315929630231999</v>
      </c>
      <c r="B62" s="3">
        <v>0.41463414634146301</v>
      </c>
      <c r="C62" s="3">
        <v>1.73002692718611</v>
      </c>
      <c r="D62" s="3">
        <v>0</v>
      </c>
    </row>
    <row r="63" spans="1:4" x14ac:dyDescent="0.2">
      <c r="A63" s="1">
        <v>1.5385126686614901</v>
      </c>
      <c r="B63" s="3">
        <v>0.42682926829268197</v>
      </c>
      <c r="C63" s="3">
        <v>1.5470890202034</v>
      </c>
      <c r="D63" s="3">
        <v>0</v>
      </c>
    </row>
    <row r="64" spans="1:4" x14ac:dyDescent="0.2">
      <c r="A64" s="1">
        <v>1.5354431661324199</v>
      </c>
      <c r="B64" s="3">
        <v>0.45121951219512102</v>
      </c>
      <c r="C64" s="3">
        <v>1.7931361810694399</v>
      </c>
      <c r="D64" s="3">
        <v>0</v>
      </c>
    </row>
    <row r="65" spans="1:4" x14ac:dyDescent="0.2">
      <c r="A65" s="1">
        <v>1.53728422903546</v>
      </c>
      <c r="B65" s="3">
        <v>0.45121951219512102</v>
      </c>
      <c r="C65" s="3">
        <v>1.4150050271704</v>
      </c>
      <c r="D65" s="3">
        <v>1</v>
      </c>
    </row>
    <row r="66" spans="1:4" x14ac:dyDescent="0.2">
      <c r="A66" s="1">
        <v>1.5366752849990299</v>
      </c>
      <c r="B66" s="3">
        <v>0.42682926829268197</v>
      </c>
      <c r="C66" s="3">
        <v>1.71135214847731</v>
      </c>
      <c r="D66" s="3">
        <v>0</v>
      </c>
    </row>
    <row r="67" spans="1:4" x14ac:dyDescent="0.2">
      <c r="A67" s="1">
        <v>1.5396075683697501</v>
      </c>
      <c r="B67" s="3">
        <v>0.439024390243902</v>
      </c>
      <c r="C67" s="3">
        <v>1.7103827552822299</v>
      </c>
      <c r="D67" s="3">
        <v>0</v>
      </c>
    </row>
    <row r="68" spans="1:4" x14ac:dyDescent="0.2">
      <c r="A68" s="1">
        <v>1.53927212379329</v>
      </c>
      <c r="B68" s="3">
        <v>0.45121951219512102</v>
      </c>
      <c r="C68" s="3">
        <v>1.5844341771111701</v>
      </c>
      <c r="D68" s="3">
        <v>0</v>
      </c>
    </row>
    <row r="69" spans="1:4" x14ac:dyDescent="0.2">
      <c r="A69" s="1">
        <v>1.5430390441717701</v>
      </c>
      <c r="B69" s="3">
        <v>0.39024390243902402</v>
      </c>
      <c r="C69" s="3">
        <v>1.59927799348516</v>
      </c>
      <c r="D69" s="3">
        <v>0</v>
      </c>
    </row>
    <row r="70" spans="1:4" x14ac:dyDescent="0.2">
      <c r="A70" s="1">
        <v>1.53987340977855</v>
      </c>
      <c r="B70" s="3">
        <v>0.37804878048780399</v>
      </c>
      <c r="C70" s="3">
        <v>1.7962271466261901</v>
      </c>
      <c r="D70" s="3">
        <v>0</v>
      </c>
    </row>
    <row r="71" spans="1:4" x14ac:dyDescent="0.2">
      <c r="A71" s="1">
        <v>1.5069027062231799</v>
      </c>
      <c r="B71" s="3">
        <v>0.46341463414634099</v>
      </c>
      <c r="C71" s="3">
        <v>1.3580421867224399</v>
      </c>
      <c r="D71" s="3">
        <v>1</v>
      </c>
    </row>
    <row r="72" spans="1:4" x14ac:dyDescent="0.2">
      <c r="A72" s="1">
        <v>1.5042675493858599</v>
      </c>
      <c r="B72" s="3">
        <v>0.46341463414634099</v>
      </c>
      <c r="C72" s="3">
        <v>1.68839299612602</v>
      </c>
      <c r="D72" s="3">
        <v>0</v>
      </c>
    </row>
    <row r="73" spans="1:4" x14ac:dyDescent="0.2">
      <c r="A73" s="1">
        <v>1.5396987819961701</v>
      </c>
      <c r="B73" s="3">
        <v>0.46341463414634099</v>
      </c>
      <c r="C73" s="3">
        <v>1.4987043649215599</v>
      </c>
      <c r="D73" s="3">
        <v>1</v>
      </c>
    </row>
    <row r="74" spans="1:4" x14ac:dyDescent="0.2">
      <c r="A74" s="1">
        <v>1.5373720718919901</v>
      </c>
      <c r="B74" s="3">
        <v>0.45121951219512102</v>
      </c>
      <c r="C74" s="3">
        <v>1.72507109900026</v>
      </c>
      <c r="D74" s="3">
        <v>0</v>
      </c>
    </row>
    <row r="75" spans="1:4" x14ac:dyDescent="0.2">
      <c r="A75" s="1">
        <v>1.5373662441106499</v>
      </c>
      <c r="B75" s="3">
        <v>0.42682926829268197</v>
      </c>
      <c r="C75" s="3">
        <v>1.54261490637647</v>
      </c>
      <c r="D75" s="3">
        <v>0</v>
      </c>
    </row>
    <row r="76" spans="1:4" x14ac:dyDescent="0.2">
      <c r="A76" s="1">
        <v>1.51380673596862</v>
      </c>
      <c r="B76" s="3">
        <v>0.47560975609756001</v>
      </c>
      <c r="C76" s="3">
        <v>1.6034529106533799</v>
      </c>
      <c r="D76" s="3">
        <v>0</v>
      </c>
    </row>
    <row r="77" spans="1:4" x14ac:dyDescent="0.2">
      <c r="A77" s="1">
        <v>1.54201189982765</v>
      </c>
      <c r="B77" s="3">
        <v>0.41463414634146301</v>
      </c>
      <c r="C77" s="3">
        <v>1.72309824528988</v>
      </c>
      <c r="D77" s="3">
        <v>0</v>
      </c>
    </row>
    <row r="78" spans="1:4" x14ac:dyDescent="0.2">
      <c r="A78" s="1">
        <v>1.5384568246875101</v>
      </c>
      <c r="B78" s="3">
        <v>0.439024390243902</v>
      </c>
      <c r="C78" s="3">
        <v>1.77317798180307</v>
      </c>
      <c r="D78" s="3">
        <v>0</v>
      </c>
    </row>
    <row r="79" spans="1:4" x14ac:dyDescent="0.2">
      <c r="A79" s="1">
        <v>1.53718494958975</v>
      </c>
      <c r="B79" s="3">
        <v>0.46341463414634099</v>
      </c>
      <c r="C79" s="3">
        <v>1.5303300727996301</v>
      </c>
      <c r="D79" s="3">
        <v>0</v>
      </c>
    </row>
    <row r="80" spans="1:4" x14ac:dyDescent="0.2">
      <c r="A80" s="1">
        <v>1.54413804084168</v>
      </c>
      <c r="B80" s="3">
        <v>0.46341463414634099</v>
      </c>
      <c r="C80" s="3">
        <v>1.5344567952902399</v>
      </c>
      <c r="D80" s="3">
        <v>0</v>
      </c>
    </row>
    <row r="81" spans="1:5" x14ac:dyDescent="0.2">
      <c r="A81" s="1">
        <v>1.53696064889151</v>
      </c>
      <c r="B81" s="3">
        <v>0.42682926829268197</v>
      </c>
      <c r="C81" s="3">
        <v>1.5497501954808299</v>
      </c>
      <c r="D81" s="3">
        <v>0</v>
      </c>
    </row>
    <row r="82" spans="1:5" x14ac:dyDescent="0.2">
      <c r="A82" s="1">
        <v>1.52144952286027</v>
      </c>
      <c r="B82" s="3">
        <v>0.51219512195121897</v>
      </c>
      <c r="C82" s="3">
        <v>1.61521489408747</v>
      </c>
      <c r="D82" s="3">
        <v>0</v>
      </c>
    </row>
    <row r="83" spans="1:5" x14ac:dyDescent="0.2">
      <c r="A83" s="1">
        <v>1.5356432361791501</v>
      </c>
      <c r="B83" s="3">
        <v>0.41463414634146301</v>
      </c>
      <c r="C83" s="3">
        <v>1.75620186618566</v>
      </c>
      <c r="D83" s="3">
        <v>0</v>
      </c>
    </row>
    <row r="84" spans="1:5" x14ac:dyDescent="0.2">
      <c r="A84" s="1">
        <v>1.54030291155804</v>
      </c>
      <c r="B84" s="3">
        <v>0.41463414634146301</v>
      </c>
      <c r="C84" s="3">
        <v>1.64420580535663</v>
      </c>
      <c r="D84" s="3">
        <v>0</v>
      </c>
    </row>
    <row r="87" spans="1:5" x14ac:dyDescent="0.2">
      <c r="A87">
        <f>AVERAGE(A2:A84)</f>
        <v>1.5377777934990631</v>
      </c>
      <c r="B87">
        <f>AVERAGE(B2:B84)</f>
        <v>0.43373493975903538</v>
      </c>
      <c r="C87">
        <f>AVERAGE(C2:C84)</f>
        <v>1.6197265571876098</v>
      </c>
      <c r="D87">
        <f>AVERAGE(D2:D84)</f>
        <v>0.18072289156626506</v>
      </c>
      <c r="E87" t="s">
        <v>24</v>
      </c>
    </row>
    <row r="88" spans="1:5" x14ac:dyDescent="0.2">
      <c r="A88">
        <f t="shared" ref="A88" si="0">MIN(A2:A84)</f>
        <v>1.5042675493858599</v>
      </c>
      <c r="C88">
        <f>MIN(C2:C84)</f>
        <v>1.3580421867224399</v>
      </c>
      <c r="E88" t="s">
        <v>25</v>
      </c>
    </row>
    <row r="89" spans="1:5" x14ac:dyDescent="0.2">
      <c r="A89">
        <f t="shared" ref="A89" si="1">MAX(A2:A84)</f>
        <v>1.546916948981</v>
      </c>
      <c r="C89">
        <f>MAX(C2:C84)</f>
        <v>1.8019146208268599</v>
      </c>
      <c r="E8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</vt:lpstr>
      <vt:lpstr>t-stat</vt:lpstr>
      <vt:lpstr>lofo rps results</vt:lpstr>
      <vt:lpstr>overfitting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</dc:creator>
  <cp:lastModifiedBy>Ehsan Farzadnia</cp:lastModifiedBy>
  <dcterms:created xsi:type="dcterms:W3CDTF">2025-06-25T00:15:21Z</dcterms:created>
  <dcterms:modified xsi:type="dcterms:W3CDTF">2026-04-05T22:51:39Z</dcterms:modified>
</cp:coreProperties>
</file>