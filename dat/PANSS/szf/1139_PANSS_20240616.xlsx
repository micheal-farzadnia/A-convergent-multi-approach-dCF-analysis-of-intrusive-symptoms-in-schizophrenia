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icheal/Documents/sc-rp/data/PANSS/szf/"/>
    </mc:Choice>
  </mc:AlternateContent>
  <xr:revisionPtr revIDLastSave="0" documentId="13_ncr:1_{B86E1364-D8B0-1B4F-B598-54A49A952600}" xr6:coauthVersionLast="47" xr6:coauthVersionMax="47" xr10:uidLastSave="{00000000-0000-0000-0000-000000000000}"/>
  <bookViews>
    <workbookView xWindow="0" yWindow="880" windowWidth="26480" windowHeight="18040" xr2:uid="{00000000-000D-0000-FFFF-FFFF00000000}"/>
  </bookViews>
  <sheets>
    <sheet name="Sheet 1 - 1139_PANSS_202406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7" i="1" l="1"/>
  <c r="AK4" i="1"/>
  <c r="AK10" i="1"/>
  <c r="AK9" i="1"/>
  <c r="AK8" i="1"/>
  <c r="AK12" i="1"/>
  <c r="AK5" i="1"/>
  <c r="AK11" i="1"/>
  <c r="AK6" i="1"/>
  <c r="AK15" i="1"/>
  <c r="AK16" i="1"/>
  <c r="AK13" i="1"/>
  <c r="AK14" i="1"/>
</calcChain>
</file>

<file path=xl/sharedStrings.xml><?xml version="1.0" encoding="utf-8"?>
<sst xmlns="http://schemas.openxmlformats.org/spreadsheetml/2006/main" count="126" uniqueCount="90">
  <si>
    <t>1139_PANSS_20240616</t>
  </si>
  <si>
    <t>Anonymized ID</t>
  </si>
  <si>
    <t>Subject Type</t>
  </si>
  <si>
    <t>Sub Study Label</t>
  </si>
  <si>
    <t>Days since sub study enrollment</t>
  </si>
  <si>
    <t>Visit</t>
  </si>
  <si>
    <t>Days since first enrollment</t>
  </si>
  <si>
    <t>Delusions</t>
  </si>
  <si>
    <t>Conceptual Disorganization</t>
  </si>
  <si>
    <t>Hallucinatory Behavior</t>
  </si>
  <si>
    <t>Excitement</t>
  </si>
  <si>
    <t>Grandiosity</t>
  </si>
  <si>
    <t>Suspiciousness/Persecution</t>
  </si>
  <si>
    <t>Hostility</t>
  </si>
  <si>
    <t>Blunted Affect</t>
  </si>
  <si>
    <t>Emotional Withdrawal</t>
  </si>
  <si>
    <t>Poor Rapport</t>
  </si>
  <si>
    <t>Passive/Apathetic Social Withdrawal</t>
  </si>
  <si>
    <t>Difficulty in Abstract Thinking</t>
  </si>
  <si>
    <t>Lack of Spontaneity and Flow of Conversation</t>
  </si>
  <si>
    <t>Stereotyped Thinking</t>
  </si>
  <si>
    <t>Somatic Concern</t>
  </si>
  <si>
    <t>Anxiety</t>
  </si>
  <si>
    <t>Guilt Feelings</t>
  </si>
  <si>
    <t>Tension</t>
  </si>
  <si>
    <t>Mannerisms and Posturing</t>
  </si>
  <si>
    <t>Depression</t>
  </si>
  <si>
    <t>Motor Retardation</t>
  </si>
  <si>
    <t>Uncooperativeness</t>
  </si>
  <si>
    <t>Unusual Thought Content</t>
  </si>
  <si>
    <t>Disorientation</t>
  </si>
  <si>
    <t>Poor Attention</t>
  </si>
  <si>
    <t>Lack of Judgment and Insight</t>
  </si>
  <si>
    <t>Disturbance of Volition</t>
  </si>
  <si>
    <t>Poor Impulse Control</t>
  </si>
  <si>
    <t>Preoccupation</t>
  </si>
  <si>
    <t>Active Social Avoidance</t>
  </si>
  <si>
    <t>A00020416</t>
  </si>
  <si>
    <t>Schizoaffective</t>
  </si>
  <si>
    <t>COBRE</t>
  </si>
  <si>
    <t>b</t>
  </si>
  <si>
    <t>A00031271</t>
  </si>
  <si>
    <t>A00038172</t>
  </si>
  <si>
    <t>A00028189</t>
  </si>
  <si>
    <t>A00028402</t>
  </si>
  <si>
    <t>A00028403</t>
  </si>
  <si>
    <t>A00027755</t>
  </si>
  <si>
    <t>A00035859</t>
  </si>
  <si>
    <t>A00027969</t>
  </si>
  <si>
    <t>A00035836</t>
  </si>
  <si>
    <t>A00019750</t>
  </si>
  <si>
    <t>A00014175</t>
  </si>
  <si>
    <t>A00021432</t>
  </si>
  <si>
    <t>ID</t>
  </si>
  <si>
    <t>SUB_TYPE</t>
  </si>
  <si>
    <t>SUB_STUDY</t>
  </si>
  <si>
    <t>SUB_STUDY_DAY_LAG</t>
  </si>
  <si>
    <t>VISIT</t>
  </si>
  <si>
    <t>DAY_LAG</t>
  </si>
  <si>
    <t>FIPAN_1</t>
  </si>
  <si>
    <t>FIPAN_2</t>
  </si>
  <si>
    <t>FIPAN_3</t>
  </si>
  <si>
    <t>FIPAN_4</t>
  </si>
  <si>
    <t>FIPAN_5</t>
  </si>
  <si>
    <t>FIPAN_6</t>
  </si>
  <si>
    <t>FIPAN_7</t>
  </si>
  <si>
    <t>FIPAN_8</t>
  </si>
  <si>
    <t>FIPAN_9</t>
  </si>
  <si>
    <t>FIPAN_10</t>
  </si>
  <si>
    <t>FIPAN_11</t>
  </si>
  <si>
    <t>FIPAN_12</t>
  </si>
  <si>
    <t>FIPAN_13</t>
  </si>
  <si>
    <t>FIPAN_14</t>
  </si>
  <si>
    <t>FIPAN_15</t>
  </si>
  <si>
    <t>FIPAN_16</t>
  </si>
  <si>
    <t>FIPAN_17</t>
  </si>
  <si>
    <t>FIPAN_18</t>
  </si>
  <si>
    <t>FIPAN_19</t>
  </si>
  <si>
    <t>FIPAN_20</t>
  </si>
  <si>
    <t>FIPAN_21</t>
  </si>
  <si>
    <t>FIPAN_22</t>
  </si>
  <si>
    <t>FIPAN_23</t>
  </si>
  <si>
    <t>FIPAN_24</t>
  </si>
  <si>
    <t>FIPAN_25</t>
  </si>
  <si>
    <t>FIPAN_26</t>
  </si>
  <si>
    <t>FIPAN_27</t>
  </si>
  <si>
    <t>FIPAN_30</t>
  </si>
  <si>
    <t>FIPAN_28</t>
  </si>
  <si>
    <t>FIPAN_29</t>
  </si>
  <si>
    <t>Intrusive thohghts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</si>
</sst>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vertical="top"/>
    </xf>
    <xf numFmtId="49" fontId="2" fillId="3" borderId="1" xfId="0" applyNumberFormat="1" applyFont="1" applyFill="1" applyBorder="1" applyAlignment="1">
      <alignment vertical="top"/>
    </xf>
    <xf numFmtId="49" fontId="2" fillId="4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3" borderId="7" xfId="0" applyNumberFormat="1" applyFill="1" applyBorder="1" applyAlignment="1">
      <alignment vertical="top"/>
    </xf>
    <xf numFmtId="49" fontId="2" fillId="4" borderId="5" xfId="0" applyNumberFormat="1" applyFont="1" applyFill="1" applyBorder="1" applyAlignment="1">
      <alignment vertical="top"/>
    </xf>
    <xf numFmtId="49" fontId="2" fillId="2" borderId="0" xfId="0" applyNumberFormat="1" applyFont="1" applyFill="1" applyBorder="1" applyAlignment="1">
      <alignment vertical="top"/>
    </xf>
    <xf numFmtId="0" fontId="0" fillId="0" borderId="0" xfId="0" applyNumberFormat="1" applyBorder="1" applyAlignment="1">
      <alignment vertical="top"/>
    </xf>
    <xf numFmtId="49" fontId="0" fillId="0" borderId="0" xfId="0" applyNumberFormat="1" applyBorder="1" applyAlignment="1">
      <alignment vertical="top"/>
    </xf>
    <xf numFmtId="49" fontId="0" fillId="3" borderId="4" xfId="0" applyNumberFormat="1" applyFill="1" applyBorder="1" applyAlignment="1">
      <alignment vertical="top"/>
    </xf>
    <xf numFmtId="49" fontId="2" fillId="0" borderId="1" xfId="0" applyNumberFormat="1" applyFont="1" applyFill="1" applyBorder="1" applyAlignment="1">
      <alignment vertical="top"/>
    </xf>
    <xf numFmtId="49" fontId="0" fillId="0" borderId="4" xfId="0" applyNumberFormat="1" applyFill="1" applyBorder="1" applyAlignment="1">
      <alignment vertical="top"/>
    </xf>
    <xf numFmtId="0" fontId="0" fillId="0" borderId="7" xfId="0" applyNumberFormat="1" applyFill="1" applyBorder="1" applyAlignment="1">
      <alignment vertical="top"/>
    </xf>
    <xf numFmtId="0" fontId="0" fillId="0" borderId="0" xfId="0" applyNumberFormat="1" applyFill="1" applyAlignment="1">
      <alignment vertical="top"/>
    </xf>
    <xf numFmtId="49" fontId="2" fillId="5" borderId="1" xfId="0" applyNumberFormat="1" applyFont="1" applyFill="1" applyBorder="1" applyAlignment="1">
      <alignment vertical="top"/>
    </xf>
    <xf numFmtId="49" fontId="0" fillId="5" borderId="4" xfId="0" applyNumberFormat="1" applyFill="1" applyBorder="1" applyAlignment="1">
      <alignment vertical="top"/>
    </xf>
    <xf numFmtId="0" fontId="0" fillId="5" borderId="7" xfId="0" applyNumberFormat="1" applyFill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056"/>
      <rgbColor rgb="FFDBDBDB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6"/>
  <sheetViews>
    <sheetView showGridLines="0" tabSelected="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14" sqref="F14"/>
    </sheetView>
  </sheetViews>
  <sheetFormatPr baseColWidth="10" defaultColWidth="8.33203125" defaultRowHeight="20" customHeight="1" x14ac:dyDescent="0.15"/>
  <cols>
    <col min="1" max="1" width="13.5" style="1" customWidth="1"/>
    <col min="2" max="2" width="12.83203125" style="1" customWidth="1"/>
    <col min="3" max="3" width="14.33203125" style="1" customWidth="1"/>
    <col min="4" max="4" width="27.1640625" style="1" customWidth="1"/>
    <col min="5" max="5" width="5.33203125" style="1" customWidth="1"/>
    <col min="6" max="6" width="22.6640625" style="1" customWidth="1"/>
    <col min="7" max="7" width="9.33203125" style="21" customWidth="1"/>
    <col min="8" max="8" width="23.5" style="1" customWidth="1"/>
    <col min="9" max="9" width="19.5" style="1" customWidth="1"/>
    <col min="10" max="11" width="10.5" style="1" customWidth="1"/>
    <col min="12" max="12" width="24" style="1" customWidth="1"/>
    <col min="13" max="13" width="8" style="1" customWidth="1"/>
    <col min="14" max="14" width="12.83203125" style="1" customWidth="1"/>
    <col min="15" max="15" width="18.83203125" style="1" customWidth="1"/>
    <col min="16" max="16" width="12.1640625" style="1" customWidth="1"/>
    <col min="17" max="17" width="30.5" style="1" customWidth="1"/>
    <col min="18" max="18" width="24.83203125" style="1" customWidth="1"/>
    <col min="19" max="19" width="38" style="1" customWidth="1"/>
    <col min="20" max="20" width="18.5" style="1" customWidth="1"/>
    <col min="21" max="21" width="15.33203125" style="1" customWidth="1"/>
    <col min="22" max="22" width="8.83203125" style="1" customWidth="1"/>
    <col min="23" max="23" width="12.33203125" style="1" customWidth="1"/>
    <col min="24" max="24" width="8.83203125" style="1" customWidth="1"/>
    <col min="25" max="25" width="22.83203125" style="1" customWidth="1"/>
    <col min="26" max="26" width="10.5" style="1" customWidth="1"/>
    <col min="27" max="27" width="16" style="1" customWidth="1"/>
    <col min="28" max="28" width="16.83203125" style="1" customWidth="1"/>
    <col min="29" max="29" width="21.83203125" style="21" customWidth="1"/>
    <col min="30" max="30" width="12.6640625" style="1" customWidth="1"/>
    <col min="31" max="31" width="13" style="1" customWidth="1"/>
    <col min="32" max="32" width="25.1640625" style="1" customWidth="1"/>
    <col min="33" max="33" width="19.5" style="1" customWidth="1"/>
    <col min="34" max="34" width="18.33203125" style="1" customWidth="1"/>
    <col min="35" max="35" width="13" style="1" customWidth="1"/>
    <col min="36" max="37" width="20.5" style="1" customWidth="1"/>
    <col min="38" max="38" width="8.33203125" style="1" customWidth="1"/>
    <col min="39" max="16384" width="8.33203125" style="1"/>
  </cols>
  <sheetData>
    <row r="1" spans="1:37" ht="27.75" customHeight="1" x14ac:dyDescent="0.1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"/>
    </row>
    <row r="2" spans="1:37" ht="20.25" customHeight="1" x14ac:dyDescent="0.1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2" t="s">
        <v>7</v>
      </c>
      <c r="H2" s="3" t="s">
        <v>8</v>
      </c>
      <c r="I2" s="4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18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14" t="s">
        <v>89</v>
      </c>
    </row>
    <row r="3" spans="1:37" ht="20.25" customHeight="1" x14ac:dyDescent="0.15">
      <c r="A3" s="5" t="s">
        <v>53</v>
      </c>
      <c r="B3" s="6" t="s">
        <v>54</v>
      </c>
      <c r="C3" s="7" t="s">
        <v>55</v>
      </c>
      <c r="D3" s="7" t="s">
        <v>56</v>
      </c>
      <c r="E3" s="7" t="s">
        <v>57</v>
      </c>
      <c r="F3" s="7" t="s">
        <v>58</v>
      </c>
      <c r="G3" s="23" t="s">
        <v>59</v>
      </c>
      <c r="H3" s="7" t="s">
        <v>60</v>
      </c>
      <c r="I3" s="17" t="s">
        <v>61</v>
      </c>
      <c r="J3" s="7" t="s">
        <v>62</v>
      </c>
      <c r="K3" s="7" t="s">
        <v>63</v>
      </c>
      <c r="L3" s="7" t="s">
        <v>64</v>
      </c>
      <c r="M3" s="7" t="s">
        <v>65</v>
      </c>
      <c r="N3" s="7" t="s">
        <v>66</v>
      </c>
      <c r="O3" s="7" t="s">
        <v>67</v>
      </c>
      <c r="P3" s="7" t="s">
        <v>68</v>
      </c>
      <c r="Q3" s="7" t="s">
        <v>69</v>
      </c>
      <c r="R3" s="7" t="s">
        <v>70</v>
      </c>
      <c r="S3" s="7" t="s">
        <v>71</v>
      </c>
      <c r="T3" s="7" t="s">
        <v>72</v>
      </c>
      <c r="U3" s="7" t="s">
        <v>73</v>
      </c>
      <c r="V3" s="7" t="s">
        <v>74</v>
      </c>
      <c r="W3" s="7" t="s">
        <v>75</v>
      </c>
      <c r="X3" s="7" t="s">
        <v>76</v>
      </c>
      <c r="Y3" s="7" t="s">
        <v>77</v>
      </c>
      <c r="Z3" s="7" t="s">
        <v>78</v>
      </c>
      <c r="AA3" s="7" t="s">
        <v>79</v>
      </c>
      <c r="AB3" s="7" t="s">
        <v>80</v>
      </c>
      <c r="AC3" s="19" t="s">
        <v>81</v>
      </c>
      <c r="AD3" s="7" t="s">
        <v>82</v>
      </c>
      <c r="AE3" s="7" t="s">
        <v>83</v>
      </c>
      <c r="AF3" s="7" t="s">
        <v>84</v>
      </c>
      <c r="AG3" s="7" t="s">
        <v>85</v>
      </c>
      <c r="AH3" s="7" t="s">
        <v>86</v>
      </c>
      <c r="AI3" s="7" t="s">
        <v>87</v>
      </c>
      <c r="AJ3" s="7" t="s">
        <v>88</v>
      </c>
      <c r="AK3" s="16"/>
    </row>
    <row r="4" spans="1:37" ht="20" customHeight="1" x14ac:dyDescent="0.15">
      <c r="A4" s="8" t="s">
        <v>42</v>
      </c>
      <c r="B4" s="9" t="s">
        <v>38</v>
      </c>
      <c r="C4" s="10" t="s">
        <v>39</v>
      </c>
      <c r="D4" s="11">
        <v>0</v>
      </c>
      <c r="E4" s="10" t="s">
        <v>40</v>
      </c>
      <c r="F4" s="11">
        <v>0</v>
      </c>
      <c r="G4" s="24">
        <v>2</v>
      </c>
      <c r="H4" s="11">
        <v>1</v>
      </c>
      <c r="I4" s="12">
        <v>1</v>
      </c>
      <c r="J4" s="11">
        <v>1</v>
      </c>
      <c r="K4" s="11">
        <v>1</v>
      </c>
      <c r="L4" s="11">
        <v>3</v>
      </c>
      <c r="M4" s="11">
        <v>3</v>
      </c>
      <c r="N4" s="11">
        <v>1</v>
      </c>
      <c r="O4" s="11">
        <v>1</v>
      </c>
      <c r="P4" s="11">
        <v>1</v>
      </c>
      <c r="Q4" s="11">
        <v>1</v>
      </c>
      <c r="R4" s="11">
        <v>4</v>
      </c>
      <c r="S4" s="11">
        <v>1</v>
      </c>
      <c r="T4" s="11">
        <v>1</v>
      </c>
      <c r="U4" s="11">
        <v>1</v>
      </c>
      <c r="V4" s="11">
        <v>3</v>
      </c>
      <c r="W4" s="11">
        <v>1</v>
      </c>
      <c r="X4" s="11">
        <v>3</v>
      </c>
      <c r="Y4" s="11">
        <v>1</v>
      </c>
      <c r="Z4" s="11">
        <v>1</v>
      </c>
      <c r="AA4" s="11">
        <v>1</v>
      </c>
      <c r="AB4" s="11">
        <v>1</v>
      </c>
      <c r="AC4" s="20">
        <v>1</v>
      </c>
      <c r="AD4" s="11">
        <v>3</v>
      </c>
      <c r="AE4" s="11">
        <v>1</v>
      </c>
      <c r="AF4" s="11">
        <v>1</v>
      </c>
      <c r="AG4" s="11">
        <v>1</v>
      </c>
      <c r="AH4" s="11">
        <v>1</v>
      </c>
      <c r="AI4" s="11">
        <v>1</v>
      </c>
      <c r="AJ4" s="11">
        <v>1</v>
      </c>
      <c r="AK4" s="15">
        <f t="shared" ref="AK4:AK16" si="0">CEILING((AC4+I4)/2,1)</f>
        <v>1</v>
      </c>
    </row>
    <row r="5" spans="1:37" ht="20" customHeight="1" x14ac:dyDescent="0.15">
      <c r="A5" s="8" t="s">
        <v>47</v>
      </c>
      <c r="B5" s="9" t="s">
        <v>38</v>
      </c>
      <c r="C5" s="10" t="s">
        <v>39</v>
      </c>
      <c r="D5" s="11">
        <v>0</v>
      </c>
      <c r="E5" s="10" t="s">
        <v>40</v>
      </c>
      <c r="F5" s="11">
        <v>0</v>
      </c>
      <c r="G5" s="24">
        <v>2</v>
      </c>
      <c r="H5" s="11">
        <v>1</v>
      </c>
      <c r="I5" s="12">
        <v>3</v>
      </c>
      <c r="J5" s="11">
        <v>2</v>
      </c>
      <c r="K5" s="11">
        <v>1</v>
      </c>
      <c r="L5" s="11">
        <v>3</v>
      </c>
      <c r="M5" s="11">
        <v>1</v>
      </c>
      <c r="N5" s="11">
        <v>2</v>
      </c>
      <c r="O5" s="11">
        <v>2</v>
      </c>
      <c r="P5" s="11">
        <v>2</v>
      </c>
      <c r="Q5" s="11">
        <v>1</v>
      </c>
      <c r="R5" s="11">
        <v>2</v>
      </c>
      <c r="S5" s="11">
        <v>1</v>
      </c>
      <c r="T5" s="11">
        <v>1</v>
      </c>
      <c r="U5" s="11">
        <v>1</v>
      </c>
      <c r="V5" s="11">
        <v>4</v>
      </c>
      <c r="W5" s="11">
        <v>3</v>
      </c>
      <c r="X5" s="11">
        <v>2</v>
      </c>
      <c r="Y5" s="11">
        <v>1</v>
      </c>
      <c r="Z5" s="11">
        <v>3</v>
      </c>
      <c r="AA5" s="11">
        <v>1</v>
      </c>
      <c r="AB5" s="11">
        <v>1</v>
      </c>
      <c r="AC5" s="20">
        <v>1</v>
      </c>
      <c r="AD5" s="11">
        <v>1</v>
      </c>
      <c r="AE5" s="11">
        <v>1</v>
      </c>
      <c r="AF5" s="11">
        <v>1</v>
      </c>
      <c r="AG5" s="11">
        <v>1</v>
      </c>
      <c r="AH5" s="11">
        <v>1</v>
      </c>
      <c r="AI5" s="11">
        <v>1</v>
      </c>
      <c r="AJ5" s="11">
        <v>2</v>
      </c>
      <c r="AK5" s="15">
        <f t="shared" si="0"/>
        <v>2</v>
      </c>
    </row>
    <row r="6" spans="1:37" ht="20" customHeight="1" x14ac:dyDescent="0.15">
      <c r="A6" s="8" t="s">
        <v>49</v>
      </c>
      <c r="B6" s="9" t="s">
        <v>38</v>
      </c>
      <c r="C6" s="10" t="s">
        <v>39</v>
      </c>
      <c r="D6" s="11">
        <v>0</v>
      </c>
      <c r="E6" s="10" t="s">
        <v>40</v>
      </c>
      <c r="F6" s="11">
        <v>0</v>
      </c>
      <c r="G6" s="24">
        <v>3</v>
      </c>
      <c r="H6" s="11">
        <v>3</v>
      </c>
      <c r="I6" s="12">
        <v>4</v>
      </c>
      <c r="J6" s="11">
        <v>2</v>
      </c>
      <c r="K6" s="11">
        <v>1</v>
      </c>
      <c r="L6" s="11">
        <v>1</v>
      </c>
      <c r="M6" s="11">
        <v>1</v>
      </c>
      <c r="N6" s="11">
        <v>3</v>
      </c>
      <c r="O6" s="11">
        <v>3</v>
      </c>
      <c r="P6" s="11">
        <v>1</v>
      </c>
      <c r="Q6" s="11">
        <v>1</v>
      </c>
      <c r="R6" s="11">
        <v>4</v>
      </c>
      <c r="S6" s="11">
        <v>3</v>
      </c>
      <c r="T6" s="11">
        <v>1</v>
      </c>
      <c r="U6" s="11">
        <v>1</v>
      </c>
      <c r="V6" s="11">
        <v>3</v>
      </c>
      <c r="W6" s="11">
        <v>1</v>
      </c>
      <c r="X6" s="11">
        <v>3</v>
      </c>
      <c r="Y6" s="11">
        <v>1</v>
      </c>
      <c r="Z6" s="11">
        <v>1</v>
      </c>
      <c r="AA6" s="11">
        <v>3</v>
      </c>
      <c r="AB6" s="11">
        <v>1</v>
      </c>
      <c r="AC6" s="20">
        <v>1</v>
      </c>
      <c r="AD6" s="11">
        <v>3</v>
      </c>
      <c r="AE6" s="11">
        <v>2</v>
      </c>
      <c r="AF6" s="11">
        <v>3</v>
      </c>
      <c r="AG6" s="11">
        <v>1</v>
      </c>
      <c r="AH6" s="11">
        <v>1</v>
      </c>
      <c r="AI6" s="11">
        <v>1</v>
      </c>
      <c r="AJ6" s="11">
        <v>3</v>
      </c>
      <c r="AK6" s="15">
        <f t="shared" si="0"/>
        <v>3</v>
      </c>
    </row>
    <row r="7" spans="1:37" ht="20" customHeight="1" x14ac:dyDescent="0.15">
      <c r="A7" s="8" t="s">
        <v>41</v>
      </c>
      <c r="B7" s="9" t="s">
        <v>38</v>
      </c>
      <c r="C7" s="10" t="s">
        <v>39</v>
      </c>
      <c r="D7" s="11">
        <v>0</v>
      </c>
      <c r="E7" s="10" t="s">
        <v>40</v>
      </c>
      <c r="F7" s="11">
        <v>0</v>
      </c>
      <c r="G7" s="24">
        <v>4</v>
      </c>
      <c r="H7" s="11">
        <v>2</v>
      </c>
      <c r="I7" s="12">
        <v>1</v>
      </c>
      <c r="J7" s="11">
        <v>1</v>
      </c>
      <c r="K7" s="11">
        <v>4</v>
      </c>
      <c r="L7" s="11">
        <v>3</v>
      </c>
      <c r="M7" s="11">
        <v>1</v>
      </c>
      <c r="N7" s="11">
        <v>2</v>
      </c>
      <c r="O7" s="11">
        <v>1</v>
      </c>
      <c r="P7" s="11">
        <v>1</v>
      </c>
      <c r="Q7" s="11">
        <v>1</v>
      </c>
      <c r="R7" s="11">
        <v>4</v>
      </c>
      <c r="S7" s="11">
        <v>1</v>
      </c>
      <c r="T7" s="11">
        <v>1</v>
      </c>
      <c r="U7" s="11">
        <v>3</v>
      </c>
      <c r="V7" s="11">
        <v>3</v>
      </c>
      <c r="W7" s="11">
        <v>5</v>
      </c>
      <c r="X7" s="11">
        <v>2</v>
      </c>
      <c r="Y7" s="11">
        <v>1</v>
      </c>
      <c r="Z7" s="11">
        <v>1</v>
      </c>
      <c r="AA7" s="11">
        <v>2</v>
      </c>
      <c r="AB7" s="11">
        <v>1</v>
      </c>
      <c r="AC7" s="20">
        <v>1</v>
      </c>
      <c r="AD7" s="11">
        <v>3</v>
      </c>
      <c r="AE7" s="11">
        <v>1</v>
      </c>
      <c r="AF7" s="11">
        <v>2</v>
      </c>
      <c r="AG7" s="11">
        <v>1</v>
      </c>
      <c r="AH7" s="11">
        <v>1</v>
      </c>
      <c r="AI7" s="11">
        <v>1</v>
      </c>
      <c r="AJ7" s="11">
        <v>1</v>
      </c>
      <c r="AK7" s="15">
        <f t="shared" si="0"/>
        <v>1</v>
      </c>
    </row>
    <row r="8" spans="1:37" ht="20" customHeight="1" x14ac:dyDescent="0.15">
      <c r="A8" s="13" t="s">
        <v>45</v>
      </c>
      <c r="B8" s="9" t="s">
        <v>38</v>
      </c>
      <c r="C8" s="10" t="s">
        <v>39</v>
      </c>
      <c r="D8" s="11">
        <v>0</v>
      </c>
      <c r="E8" s="10" t="s">
        <v>40</v>
      </c>
      <c r="F8" s="11">
        <v>0</v>
      </c>
      <c r="G8" s="24">
        <v>3</v>
      </c>
      <c r="H8" s="11">
        <v>4</v>
      </c>
      <c r="I8" s="12">
        <v>2</v>
      </c>
      <c r="J8" s="11">
        <v>4</v>
      </c>
      <c r="K8" s="11">
        <v>3</v>
      </c>
      <c r="L8" s="11">
        <v>3</v>
      </c>
      <c r="M8" s="11">
        <v>1</v>
      </c>
      <c r="N8" s="11">
        <v>1</v>
      </c>
      <c r="O8" s="11">
        <v>3</v>
      </c>
      <c r="P8" s="11">
        <v>1</v>
      </c>
      <c r="Q8" s="11">
        <v>2</v>
      </c>
      <c r="R8" s="11">
        <v>6</v>
      </c>
      <c r="S8" s="11">
        <v>1</v>
      </c>
      <c r="T8" s="11">
        <v>1</v>
      </c>
      <c r="U8" s="11">
        <v>2</v>
      </c>
      <c r="V8" s="11">
        <v>2</v>
      </c>
      <c r="W8" s="11">
        <v>1</v>
      </c>
      <c r="X8" s="11">
        <v>1</v>
      </c>
      <c r="Y8" s="11">
        <v>1</v>
      </c>
      <c r="Z8" s="11">
        <v>1</v>
      </c>
      <c r="AA8" s="11">
        <v>1</v>
      </c>
      <c r="AB8" s="11">
        <v>1</v>
      </c>
      <c r="AC8" s="20">
        <v>1</v>
      </c>
      <c r="AD8" s="11">
        <v>3</v>
      </c>
      <c r="AE8" s="11">
        <v>3</v>
      </c>
      <c r="AF8" s="11">
        <v>4</v>
      </c>
      <c r="AG8" s="11">
        <v>1</v>
      </c>
      <c r="AH8" s="11">
        <v>1</v>
      </c>
      <c r="AI8" s="11">
        <v>1</v>
      </c>
      <c r="AJ8" s="11">
        <v>2</v>
      </c>
      <c r="AK8" s="15">
        <f t="shared" si="0"/>
        <v>2</v>
      </c>
    </row>
    <row r="9" spans="1:37" ht="20" customHeight="1" x14ac:dyDescent="0.15">
      <c r="A9" s="8" t="s">
        <v>44</v>
      </c>
      <c r="B9" s="9" t="s">
        <v>38</v>
      </c>
      <c r="C9" s="10" t="s">
        <v>39</v>
      </c>
      <c r="D9" s="11">
        <v>0</v>
      </c>
      <c r="E9" s="10" t="s">
        <v>40</v>
      </c>
      <c r="F9" s="11">
        <v>0</v>
      </c>
      <c r="G9" s="24">
        <v>6</v>
      </c>
      <c r="H9" s="11">
        <v>1</v>
      </c>
      <c r="I9" s="12">
        <v>2</v>
      </c>
      <c r="J9" s="11">
        <v>1</v>
      </c>
      <c r="K9" s="11">
        <v>4</v>
      </c>
      <c r="L9" s="11">
        <v>4</v>
      </c>
      <c r="M9" s="11">
        <v>1</v>
      </c>
      <c r="N9" s="11">
        <v>2</v>
      </c>
      <c r="O9" s="11">
        <v>1</v>
      </c>
      <c r="P9" s="11">
        <v>1</v>
      </c>
      <c r="Q9" s="11">
        <v>2</v>
      </c>
      <c r="R9" s="11">
        <v>5</v>
      </c>
      <c r="S9" s="11">
        <v>2</v>
      </c>
      <c r="T9" s="11">
        <v>3</v>
      </c>
      <c r="U9" s="11">
        <v>1</v>
      </c>
      <c r="V9" s="11">
        <v>3</v>
      </c>
      <c r="W9" s="11">
        <v>2</v>
      </c>
      <c r="X9" s="11">
        <v>2</v>
      </c>
      <c r="Y9" s="11">
        <v>1</v>
      </c>
      <c r="Z9" s="11">
        <v>4</v>
      </c>
      <c r="AA9" s="11">
        <v>1</v>
      </c>
      <c r="AB9" s="11">
        <v>1</v>
      </c>
      <c r="AC9" s="20">
        <v>1</v>
      </c>
      <c r="AD9" s="11">
        <v>2</v>
      </c>
      <c r="AE9" s="11">
        <v>1</v>
      </c>
      <c r="AF9" s="11">
        <v>2</v>
      </c>
      <c r="AG9" s="11">
        <v>1</v>
      </c>
      <c r="AH9" s="11">
        <v>1</v>
      </c>
      <c r="AI9" s="11">
        <v>1</v>
      </c>
      <c r="AJ9" s="11">
        <v>4</v>
      </c>
      <c r="AK9" s="15">
        <f t="shared" si="0"/>
        <v>2</v>
      </c>
    </row>
    <row r="10" spans="1:37" ht="20" customHeight="1" x14ac:dyDescent="0.15">
      <c r="A10" s="13" t="s">
        <v>43</v>
      </c>
      <c r="B10" s="9" t="s">
        <v>38</v>
      </c>
      <c r="C10" s="10" t="s">
        <v>39</v>
      </c>
      <c r="D10" s="11">
        <v>0</v>
      </c>
      <c r="E10" s="10" t="s">
        <v>40</v>
      </c>
      <c r="F10" s="11">
        <v>0</v>
      </c>
      <c r="G10" s="24">
        <v>3</v>
      </c>
      <c r="H10" s="11">
        <v>1</v>
      </c>
      <c r="I10" s="12">
        <v>2</v>
      </c>
      <c r="J10" s="11">
        <v>2</v>
      </c>
      <c r="K10" s="11">
        <v>3</v>
      </c>
      <c r="L10" s="11">
        <v>3</v>
      </c>
      <c r="M10" s="11">
        <v>1</v>
      </c>
      <c r="N10" s="11">
        <v>1</v>
      </c>
      <c r="O10" s="11">
        <v>1</v>
      </c>
      <c r="P10" s="11">
        <v>1</v>
      </c>
      <c r="Q10" s="11">
        <v>3</v>
      </c>
      <c r="R10" s="11">
        <v>5</v>
      </c>
      <c r="S10" s="11">
        <v>1</v>
      </c>
      <c r="T10" s="11">
        <v>1</v>
      </c>
      <c r="U10" s="11">
        <v>1</v>
      </c>
      <c r="V10" s="11">
        <v>3</v>
      </c>
      <c r="W10" s="11">
        <v>3</v>
      </c>
      <c r="X10" s="11">
        <v>2</v>
      </c>
      <c r="Y10" s="11">
        <v>1</v>
      </c>
      <c r="Z10" s="11">
        <v>3</v>
      </c>
      <c r="AA10" s="11">
        <v>1</v>
      </c>
      <c r="AB10" s="11">
        <v>1</v>
      </c>
      <c r="AC10" s="20">
        <v>1</v>
      </c>
      <c r="AD10" s="11">
        <v>1</v>
      </c>
      <c r="AE10" s="11">
        <v>1</v>
      </c>
      <c r="AF10" s="11">
        <v>2</v>
      </c>
      <c r="AG10" s="11">
        <v>1</v>
      </c>
      <c r="AH10" s="11">
        <v>1</v>
      </c>
      <c r="AI10" s="11">
        <v>1</v>
      </c>
      <c r="AJ10" s="11">
        <v>1</v>
      </c>
      <c r="AK10" s="15">
        <f t="shared" si="0"/>
        <v>2</v>
      </c>
    </row>
    <row r="11" spans="1:37" ht="20" customHeight="1" x14ac:dyDescent="0.15">
      <c r="A11" s="8" t="s">
        <v>48</v>
      </c>
      <c r="B11" s="9" t="s">
        <v>38</v>
      </c>
      <c r="C11" s="10" t="s">
        <v>39</v>
      </c>
      <c r="D11" s="11">
        <v>0</v>
      </c>
      <c r="E11" s="10" t="s">
        <v>40</v>
      </c>
      <c r="F11" s="11">
        <v>0</v>
      </c>
      <c r="G11" s="24">
        <v>5</v>
      </c>
      <c r="H11" s="11">
        <v>2</v>
      </c>
      <c r="I11" s="12">
        <v>3</v>
      </c>
      <c r="J11" s="11">
        <v>3</v>
      </c>
      <c r="K11" s="11">
        <v>2</v>
      </c>
      <c r="L11" s="11">
        <v>4</v>
      </c>
      <c r="M11" s="11">
        <v>2</v>
      </c>
      <c r="N11" s="11">
        <v>3</v>
      </c>
      <c r="O11" s="11">
        <v>2</v>
      </c>
      <c r="P11" s="11">
        <v>1</v>
      </c>
      <c r="Q11" s="11">
        <v>2</v>
      </c>
      <c r="R11" s="11">
        <v>3</v>
      </c>
      <c r="S11" s="11">
        <v>1</v>
      </c>
      <c r="T11" s="11">
        <v>2</v>
      </c>
      <c r="U11" s="11">
        <v>4</v>
      </c>
      <c r="V11" s="11">
        <v>4</v>
      </c>
      <c r="W11" s="11">
        <v>3</v>
      </c>
      <c r="X11" s="11">
        <v>3</v>
      </c>
      <c r="Y11" s="11">
        <v>3</v>
      </c>
      <c r="Z11" s="11">
        <v>3</v>
      </c>
      <c r="AA11" s="11">
        <v>1</v>
      </c>
      <c r="AB11" s="11">
        <v>1</v>
      </c>
      <c r="AC11" s="20">
        <v>5</v>
      </c>
      <c r="AD11" s="11">
        <v>1</v>
      </c>
      <c r="AE11" s="11">
        <v>2</v>
      </c>
      <c r="AF11" s="11">
        <v>2</v>
      </c>
      <c r="AG11" s="11">
        <v>3</v>
      </c>
      <c r="AH11" s="11">
        <v>2</v>
      </c>
      <c r="AI11" s="11">
        <v>2</v>
      </c>
      <c r="AJ11" s="11">
        <v>2</v>
      </c>
      <c r="AK11" s="15">
        <f t="shared" si="0"/>
        <v>4</v>
      </c>
    </row>
    <row r="12" spans="1:37" ht="20" customHeight="1" x14ac:dyDescent="0.15">
      <c r="A12" s="8" t="s">
        <v>46</v>
      </c>
      <c r="B12" s="9" t="s">
        <v>38</v>
      </c>
      <c r="C12" s="10" t="s">
        <v>39</v>
      </c>
      <c r="D12" s="11">
        <v>0</v>
      </c>
      <c r="E12" s="10" t="s">
        <v>40</v>
      </c>
      <c r="F12" s="11">
        <v>0</v>
      </c>
      <c r="G12" s="24">
        <v>3</v>
      </c>
      <c r="H12" s="11">
        <v>2</v>
      </c>
      <c r="I12" s="12">
        <v>3</v>
      </c>
      <c r="J12" s="11">
        <v>1</v>
      </c>
      <c r="K12" s="11">
        <v>1</v>
      </c>
      <c r="L12" s="11">
        <v>4</v>
      </c>
      <c r="M12" s="11">
        <v>1</v>
      </c>
      <c r="N12" s="11">
        <v>4</v>
      </c>
      <c r="O12" s="11">
        <v>2</v>
      </c>
      <c r="P12" s="11">
        <v>3</v>
      </c>
      <c r="Q12" s="11">
        <v>2</v>
      </c>
      <c r="R12" s="11">
        <v>3</v>
      </c>
      <c r="S12" s="11">
        <v>3</v>
      </c>
      <c r="T12" s="11">
        <v>1</v>
      </c>
      <c r="U12" s="11">
        <v>1</v>
      </c>
      <c r="V12" s="11">
        <v>4</v>
      </c>
      <c r="W12" s="11">
        <v>3</v>
      </c>
      <c r="X12" s="11">
        <v>2</v>
      </c>
      <c r="Y12" s="11">
        <v>2</v>
      </c>
      <c r="Z12" s="11">
        <v>3</v>
      </c>
      <c r="AA12" s="11">
        <v>3</v>
      </c>
      <c r="AB12" s="11">
        <v>2</v>
      </c>
      <c r="AC12" s="20">
        <v>1</v>
      </c>
      <c r="AD12" s="11">
        <v>2</v>
      </c>
      <c r="AE12" s="11">
        <v>2</v>
      </c>
      <c r="AF12" s="11">
        <v>3</v>
      </c>
      <c r="AG12" s="11">
        <v>1</v>
      </c>
      <c r="AH12" s="11">
        <v>1</v>
      </c>
      <c r="AI12" s="11">
        <v>1</v>
      </c>
      <c r="AJ12" s="11">
        <v>1</v>
      </c>
      <c r="AK12" s="15">
        <f t="shared" si="0"/>
        <v>2</v>
      </c>
    </row>
    <row r="13" spans="1:37" ht="20" customHeight="1" x14ac:dyDescent="0.15">
      <c r="A13" s="13" t="s">
        <v>52</v>
      </c>
      <c r="B13" s="9" t="s">
        <v>38</v>
      </c>
      <c r="C13" s="10" t="s">
        <v>39</v>
      </c>
      <c r="D13" s="11">
        <v>3</v>
      </c>
      <c r="E13" s="10" t="s">
        <v>40</v>
      </c>
      <c r="F13" s="11">
        <v>3</v>
      </c>
      <c r="G13" s="24">
        <v>5</v>
      </c>
      <c r="H13" s="11">
        <v>1</v>
      </c>
      <c r="I13" s="12">
        <v>6</v>
      </c>
      <c r="J13" s="11">
        <v>3</v>
      </c>
      <c r="K13" s="11">
        <v>1</v>
      </c>
      <c r="L13" s="11">
        <v>6</v>
      </c>
      <c r="M13" s="11">
        <v>1</v>
      </c>
      <c r="N13" s="11">
        <v>5</v>
      </c>
      <c r="O13" s="11">
        <v>4</v>
      </c>
      <c r="P13" s="11">
        <v>1</v>
      </c>
      <c r="Q13" s="11">
        <v>5</v>
      </c>
      <c r="R13" s="11">
        <v>6</v>
      </c>
      <c r="S13" s="11">
        <v>5</v>
      </c>
      <c r="T13" s="11">
        <v>1</v>
      </c>
      <c r="U13" s="11">
        <v>1</v>
      </c>
      <c r="V13" s="11">
        <v>4</v>
      </c>
      <c r="W13" s="11">
        <v>4</v>
      </c>
      <c r="X13" s="11">
        <v>5</v>
      </c>
      <c r="Y13" s="11">
        <v>1</v>
      </c>
      <c r="Z13" s="11">
        <v>5</v>
      </c>
      <c r="AA13" s="11">
        <v>3</v>
      </c>
      <c r="AB13" s="11">
        <v>3</v>
      </c>
      <c r="AC13" s="20">
        <v>1</v>
      </c>
      <c r="AD13" s="11">
        <v>3</v>
      </c>
      <c r="AE13" s="11">
        <v>3</v>
      </c>
      <c r="AF13" s="11">
        <v>3</v>
      </c>
      <c r="AG13" s="11">
        <v>1</v>
      </c>
      <c r="AH13" s="11">
        <v>1</v>
      </c>
      <c r="AI13" s="11">
        <v>1</v>
      </c>
      <c r="AJ13" s="11">
        <v>6</v>
      </c>
      <c r="AK13" s="15">
        <f t="shared" si="0"/>
        <v>4</v>
      </c>
    </row>
    <row r="14" spans="1:37" ht="20" customHeight="1" x14ac:dyDescent="0.15">
      <c r="A14" s="13" t="s">
        <v>37</v>
      </c>
      <c r="B14" s="9" t="s">
        <v>38</v>
      </c>
      <c r="C14" s="10" t="s">
        <v>39</v>
      </c>
      <c r="D14" s="11">
        <v>7</v>
      </c>
      <c r="E14" s="10" t="s">
        <v>40</v>
      </c>
      <c r="F14" s="11">
        <v>7</v>
      </c>
      <c r="G14" s="24">
        <v>2</v>
      </c>
      <c r="H14" s="11">
        <v>2</v>
      </c>
      <c r="I14" s="12">
        <v>1</v>
      </c>
      <c r="J14" s="11">
        <v>2</v>
      </c>
      <c r="K14" s="11">
        <v>3</v>
      </c>
      <c r="L14" s="11">
        <v>2</v>
      </c>
      <c r="M14" s="11">
        <v>1</v>
      </c>
      <c r="N14" s="11">
        <v>5</v>
      </c>
      <c r="O14" s="11">
        <v>4</v>
      </c>
      <c r="P14" s="11">
        <v>3</v>
      </c>
      <c r="Q14" s="11">
        <v>3</v>
      </c>
      <c r="R14" s="11">
        <v>2</v>
      </c>
      <c r="S14" s="11">
        <v>2</v>
      </c>
      <c r="T14" s="11">
        <v>3</v>
      </c>
      <c r="U14" s="11">
        <v>4</v>
      </c>
      <c r="V14" s="11">
        <v>4</v>
      </c>
      <c r="W14" s="11">
        <v>1</v>
      </c>
      <c r="X14" s="11">
        <v>3</v>
      </c>
      <c r="Y14" s="11">
        <v>3</v>
      </c>
      <c r="Z14" s="11">
        <v>3</v>
      </c>
      <c r="AA14" s="11">
        <v>3</v>
      </c>
      <c r="AB14" s="11">
        <v>2</v>
      </c>
      <c r="AC14" s="20">
        <v>1</v>
      </c>
      <c r="AD14" s="11">
        <v>1</v>
      </c>
      <c r="AE14" s="11">
        <v>2</v>
      </c>
      <c r="AF14" s="11">
        <v>6</v>
      </c>
      <c r="AG14" s="11">
        <v>1</v>
      </c>
      <c r="AH14" s="11">
        <v>1</v>
      </c>
      <c r="AI14" s="11">
        <v>3</v>
      </c>
      <c r="AJ14" s="11">
        <v>3</v>
      </c>
      <c r="AK14" s="15">
        <f t="shared" si="0"/>
        <v>1</v>
      </c>
    </row>
    <row r="15" spans="1:37" ht="20" customHeight="1" x14ac:dyDescent="0.15">
      <c r="A15" s="8" t="s">
        <v>50</v>
      </c>
      <c r="B15" s="9" t="s">
        <v>38</v>
      </c>
      <c r="C15" s="10" t="s">
        <v>39</v>
      </c>
      <c r="D15" s="11">
        <v>14</v>
      </c>
      <c r="E15" s="10" t="s">
        <v>40</v>
      </c>
      <c r="F15" s="11">
        <v>14</v>
      </c>
      <c r="G15" s="24">
        <v>3</v>
      </c>
      <c r="H15" s="11">
        <v>1</v>
      </c>
      <c r="I15" s="12">
        <v>4</v>
      </c>
      <c r="J15" s="11">
        <v>2</v>
      </c>
      <c r="K15" s="11">
        <v>1</v>
      </c>
      <c r="L15" s="11">
        <v>3</v>
      </c>
      <c r="M15" s="11">
        <v>3</v>
      </c>
      <c r="N15" s="11">
        <v>3</v>
      </c>
      <c r="O15" s="11">
        <v>4</v>
      </c>
      <c r="P15" s="11">
        <v>4</v>
      </c>
      <c r="Q15" s="11">
        <v>5</v>
      </c>
      <c r="R15" s="11">
        <v>3</v>
      </c>
      <c r="S15" s="11">
        <v>3</v>
      </c>
      <c r="T15" s="11">
        <v>1</v>
      </c>
      <c r="U15" s="11">
        <v>1</v>
      </c>
      <c r="V15" s="11">
        <v>4</v>
      </c>
      <c r="W15" s="11">
        <v>5</v>
      </c>
      <c r="X15" s="11">
        <v>3</v>
      </c>
      <c r="Y15" s="11">
        <v>2</v>
      </c>
      <c r="Z15" s="11">
        <v>5</v>
      </c>
      <c r="AA15" s="11">
        <v>2</v>
      </c>
      <c r="AB15" s="11">
        <v>1</v>
      </c>
      <c r="AC15" s="20">
        <v>2</v>
      </c>
      <c r="AD15" s="11">
        <v>3</v>
      </c>
      <c r="AE15" s="11">
        <v>3</v>
      </c>
      <c r="AF15" s="11">
        <v>3</v>
      </c>
      <c r="AG15" s="11">
        <v>1</v>
      </c>
      <c r="AH15" s="11">
        <v>2</v>
      </c>
      <c r="AI15" s="11">
        <v>1</v>
      </c>
      <c r="AJ15" s="11">
        <v>3</v>
      </c>
      <c r="AK15" s="15">
        <f t="shared" si="0"/>
        <v>3</v>
      </c>
    </row>
    <row r="16" spans="1:37" ht="20" customHeight="1" x14ac:dyDescent="0.15">
      <c r="A16" s="8" t="s">
        <v>51</v>
      </c>
      <c r="B16" s="9" t="s">
        <v>38</v>
      </c>
      <c r="C16" s="10" t="s">
        <v>39</v>
      </c>
      <c r="D16" s="11">
        <v>0</v>
      </c>
      <c r="E16" s="10" t="s">
        <v>40</v>
      </c>
      <c r="F16" s="11">
        <v>0</v>
      </c>
      <c r="G16" s="24">
        <v>5</v>
      </c>
      <c r="H16" s="11">
        <v>3</v>
      </c>
      <c r="I16" s="12">
        <v>5</v>
      </c>
      <c r="J16" s="11">
        <v>1</v>
      </c>
      <c r="K16" s="11">
        <v>2</v>
      </c>
      <c r="L16" s="11">
        <v>4</v>
      </c>
      <c r="M16" s="11">
        <v>1</v>
      </c>
      <c r="N16" s="11">
        <v>5</v>
      </c>
      <c r="O16" s="11">
        <v>3</v>
      </c>
      <c r="P16" s="11">
        <v>2</v>
      </c>
      <c r="Q16" s="11">
        <v>4</v>
      </c>
      <c r="R16" s="11">
        <v>3</v>
      </c>
      <c r="S16" s="11">
        <v>1</v>
      </c>
      <c r="T16" s="11">
        <v>2</v>
      </c>
      <c r="U16" s="11">
        <v>3</v>
      </c>
      <c r="V16" s="11">
        <v>4</v>
      </c>
      <c r="W16" s="11">
        <v>4</v>
      </c>
      <c r="X16" s="11">
        <v>3</v>
      </c>
      <c r="Y16" s="11">
        <v>2</v>
      </c>
      <c r="Z16" s="11">
        <v>4</v>
      </c>
      <c r="AA16" s="11">
        <v>5</v>
      </c>
      <c r="AB16" s="11">
        <v>1</v>
      </c>
      <c r="AC16" s="20">
        <v>5</v>
      </c>
      <c r="AD16" s="11">
        <v>3</v>
      </c>
      <c r="AE16" s="11">
        <v>3</v>
      </c>
      <c r="AF16" s="11">
        <v>2</v>
      </c>
      <c r="AG16" s="11">
        <v>3</v>
      </c>
      <c r="AH16" s="11">
        <v>1</v>
      </c>
      <c r="AI16" s="11">
        <v>4</v>
      </c>
      <c r="AJ16" s="11">
        <v>2</v>
      </c>
      <c r="AK16" s="15">
        <f t="shared" si="0"/>
        <v>5</v>
      </c>
    </row>
  </sheetData>
  <sortState xmlns:xlrd2="http://schemas.microsoft.com/office/spreadsheetml/2017/richdata2" ref="A3:AK16">
    <sortCondition descending="1" ref="A2:A16"/>
  </sortState>
  <mergeCells count="1">
    <mergeCell ref="A1:AJ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1 - 1139_PANSS_20240616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Ehsan Farzadnia</cp:lastModifiedBy>
  <dcterms:modified xsi:type="dcterms:W3CDTF">2026-02-17T12:05:36Z</dcterms:modified>
</cp:coreProperties>
</file>