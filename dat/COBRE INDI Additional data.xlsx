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702"/>
  <workbookPr/>
  <mc:AlternateContent xmlns:mc="http://schemas.openxmlformats.org/markup-compatibility/2006">
    <mc:Choice Requires="x15">
      <x15ac:absPath xmlns:x15ac="http://schemas.microsoft.com/office/spreadsheetml/2010/11/ac" url="/Users/Margaret/Desktop/"/>
    </mc:Choice>
  </mc:AlternateContent>
  <bookViews>
    <workbookView xWindow="0" yWindow="460" windowWidth="28800" windowHeight="14140" tabRatio="429" activeTab="7"/>
  </bookViews>
  <sheets>
    <sheet name="Match List" sheetId="8" r:id="rId1"/>
    <sheet name="PANSS" sheetId="1" r:id="rId2"/>
    <sheet name="Fagerstrom" sheetId="2" r:id="rId3"/>
    <sheet name="NP" sheetId="3" r:id="rId4"/>
    <sheet name="Illness Duration" sheetId="4" r:id="rId5"/>
    <sheet name="COBRE INDI Medication Log" sheetId="5" r:id="rId6"/>
    <sheet name="Med. Codes" sheetId="6" r:id="rId7"/>
    <sheet name="Dictionary" sheetId="9" r:id="rId8"/>
  </sheets>
  <externalReferences>
    <externalReference r:id="rId9"/>
  </externalReferences>
  <definedNames>
    <definedName name="cobre">[1]Sheet1!$H$1:$I$147</definedName>
    <definedName name="INDI1">"#REF!"</definedName>
  </definedNames>
  <calcPr calcId="101716"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C1762" i="9" l="1"/>
  <c r="C1682" i="9"/>
  <c r="C1512" i="9"/>
  <c r="C1492" i="9"/>
</calcChain>
</file>

<file path=xl/sharedStrings.xml><?xml version="1.0" encoding="utf-8"?>
<sst xmlns="http://schemas.openxmlformats.org/spreadsheetml/2006/main" count="6157" uniqueCount="2108">
  <si>
    <t>ID</t>
  </si>
  <si>
    <t>Assessment Date</t>
  </si>
  <si>
    <t>Delusions</t>
  </si>
  <si>
    <t>Conceptual Disorganization</t>
  </si>
  <si>
    <t>Hallucinatory Behavior</t>
  </si>
  <si>
    <t>Excitement</t>
  </si>
  <si>
    <t>Grandiosity</t>
  </si>
  <si>
    <t>Suspiciousness/Persecution</t>
  </si>
  <si>
    <t>Hostility</t>
  </si>
  <si>
    <t>Blunted Affect</t>
  </si>
  <si>
    <t>Emotional Withdrawal</t>
  </si>
  <si>
    <t>Poor Rapport</t>
  </si>
  <si>
    <t>Passive/Apathetic Social Withdrawal</t>
  </si>
  <si>
    <t>Difficulty in Abstract Thinking</t>
  </si>
  <si>
    <t>Lack of Spontaneity and Flow of Conversation</t>
  </si>
  <si>
    <t>Stereotyped Thinking</t>
  </si>
  <si>
    <t>Somatic Concern</t>
  </si>
  <si>
    <t>Anxiety</t>
  </si>
  <si>
    <t>Guilt Feelings</t>
  </si>
  <si>
    <t>Tension</t>
  </si>
  <si>
    <t>Mannerisms and Posturing</t>
  </si>
  <si>
    <t>Depression</t>
  </si>
  <si>
    <t>Motor Retardation</t>
  </si>
  <si>
    <t>Uncooperativeness</t>
  </si>
  <si>
    <t>Unusual Thought Content</t>
  </si>
  <si>
    <t>Disorientation</t>
  </si>
  <si>
    <t>Poor Attention</t>
  </si>
  <si>
    <t>Lack of Judgment and Insight</t>
  </si>
  <si>
    <t>Disturbance of Volition</t>
  </si>
  <si>
    <t>Poor Impulse Control</t>
  </si>
  <si>
    <t>Preoccupation</t>
  </si>
  <si>
    <t>Active Social Avoidance</t>
  </si>
  <si>
    <t>0040105</t>
  </si>
  <si>
    <t>2009-03-18 00:00:00</t>
  </si>
  <si>
    <t>0040032</t>
  </si>
  <si>
    <t>2009-03-31 00:00:00</t>
  </si>
  <si>
    <t>0040034</t>
  </si>
  <si>
    <t>0040109</t>
  </si>
  <si>
    <t>2009-04-06 00:00:00</t>
  </si>
  <si>
    <t>0040112</t>
  </si>
  <si>
    <t>0040096</t>
  </si>
  <si>
    <t>2009-05-04 00:00:00</t>
  </si>
  <si>
    <t>0040000</t>
  </si>
  <si>
    <t>2009-05-11 00:00:00</t>
  </si>
  <si>
    <t>0040004</t>
  </si>
  <si>
    <t>2009-06-02 00:00:00</t>
  </si>
  <si>
    <t>0040064</t>
  </si>
  <si>
    <t>2009-06-08 00:00:00</t>
  </si>
  <si>
    <t>0040137</t>
  </si>
  <si>
    <t>2009-06-23 00:00:00</t>
  </si>
  <si>
    <t>0040101</t>
  </si>
  <si>
    <t>2009-07-30 00:00:00</t>
  </si>
  <si>
    <t>0040133</t>
  </si>
  <si>
    <t>2009-08-24 00:00:00</t>
  </si>
  <si>
    <t>0040006</t>
  </si>
  <si>
    <t>2009-09-09 00:00:00</t>
  </si>
  <si>
    <t>0040059</t>
  </si>
  <si>
    <t>2009-09-22 00:00:00</t>
  </si>
  <si>
    <t>0040060</t>
  </si>
  <si>
    <t>0040029</t>
  </si>
  <si>
    <t>2009-09-25 00:00:00</t>
  </si>
  <si>
    <t>0040088</t>
  </si>
  <si>
    <t>2009-11-19 00:00:00</t>
  </si>
  <si>
    <t>0040021</t>
  </si>
  <si>
    <t>2010-01-15 00:00:00</t>
  </si>
  <si>
    <t>0040142</t>
  </si>
  <si>
    <t>2010-02-05 00:00:00</t>
  </si>
  <si>
    <t>0040085</t>
  </si>
  <si>
    <t>2010-02-19 00:00:00</t>
  </si>
  <si>
    <t>0040047</t>
  </si>
  <si>
    <t>2010-03-02 00:00:00</t>
  </si>
  <si>
    <t>0040132</t>
  </si>
  <si>
    <t>2010-03-11 00:00:00</t>
  </si>
  <si>
    <t>0040008</t>
  </si>
  <si>
    <t>2010-03-24 00:00:00</t>
  </si>
  <si>
    <t>0040106</t>
  </si>
  <si>
    <t>2010-05-18 00:00:00</t>
  </si>
  <si>
    <t>0040015</t>
  </si>
  <si>
    <t>2010-05-26 00:00:00</t>
  </si>
  <si>
    <t>0040012</t>
  </si>
  <si>
    <t>2010-05-27 00:00:00</t>
  </si>
  <si>
    <t>0040100</t>
  </si>
  <si>
    <t>0040009</t>
  </si>
  <si>
    <t>2010-06-01 00:00:00</t>
  </si>
  <si>
    <t>0040016</t>
  </si>
  <si>
    <t>2010-06-22 00:00:00</t>
  </si>
  <si>
    <t>0040092</t>
  </si>
  <si>
    <t>2010-07-21 00:00:00</t>
  </si>
  <si>
    <t>0040041</t>
  </si>
  <si>
    <t>2010-08-09 00:00:00</t>
  </si>
  <si>
    <t>0040094</t>
  </si>
  <si>
    <t>2010-08-12 00:00:00</t>
  </si>
  <si>
    <t>0040126</t>
  </si>
  <si>
    <t>2010-08-23 00:00:00</t>
  </si>
  <si>
    <t>0040042</t>
  </si>
  <si>
    <t>2010-10-07 00:00:00</t>
  </si>
  <si>
    <t>0040103</t>
  </si>
  <si>
    <t>2010-10-08 00:00:00</t>
  </si>
  <si>
    <t>0040084</t>
  </si>
  <si>
    <t>2010-10-18 00:00:00</t>
  </si>
  <si>
    <t>0040040</t>
  </si>
  <si>
    <t>2010-10-19 00:00:00</t>
  </si>
  <si>
    <t>0040108</t>
  </si>
  <si>
    <t>2010-10-25 00:00:00</t>
  </si>
  <si>
    <t>0040025</t>
  </si>
  <si>
    <t>2010-11-03 00:00:00</t>
  </si>
  <si>
    <t>0040007</t>
  </si>
  <si>
    <t>2010-12-14 00:00:00</t>
  </si>
  <si>
    <t>0040005</t>
  </si>
  <si>
    <t>2010-12-15 00:00:00</t>
  </si>
  <si>
    <t>0040028</t>
  </si>
  <si>
    <t>2011-01-10 00:00:00</t>
  </si>
  <si>
    <t>0040044</t>
  </si>
  <si>
    <t>2011-01-31 00:00:00</t>
  </si>
  <si>
    <t>0040010</t>
  </si>
  <si>
    <t>2011-02-03 00:00:00</t>
  </si>
  <si>
    <t>0040098</t>
  </si>
  <si>
    <t>2011-03-25 00:00:00</t>
  </si>
  <si>
    <t>0040039</t>
  </si>
  <si>
    <t>2011-04-25 00:00:00</t>
  </si>
  <si>
    <t>0040037</t>
  </si>
  <si>
    <t>2011-04-26 00:00:00</t>
  </si>
  <si>
    <t>0040122</t>
  </si>
  <si>
    <t>2011-05-09 00:00:00</t>
  </si>
  <si>
    <t>MD</t>
  </si>
  <si>
    <t>0040110</t>
  </si>
  <si>
    <t>2011-05-10 00:00:00</t>
  </si>
  <si>
    <t>0040001</t>
  </si>
  <si>
    <t>2011-06-01 00:00:00</t>
  </si>
  <si>
    <t>0040089</t>
  </si>
  <si>
    <t>2011-06-17 00:00:00</t>
  </si>
  <si>
    <t>0040003</t>
  </si>
  <si>
    <t>2011-06-23 00:00:00</t>
  </si>
  <si>
    <t>0040002</t>
  </si>
  <si>
    <t>2011-07-25 00:00:00</t>
  </si>
  <si>
    <t>0040117</t>
  </si>
  <si>
    <t>2011-08-26 00:00:00</t>
  </si>
  <si>
    <t>0040011</t>
  </si>
  <si>
    <t>2011-09-07 00:00:00</t>
  </si>
  <si>
    <t>0040143</t>
  </si>
  <si>
    <t>2011-09-15 00:00:00</t>
  </si>
  <si>
    <t>0040022</t>
  </si>
  <si>
    <t>2011-09-27 00:00:00</t>
  </si>
  <si>
    <t>0040145</t>
  </si>
  <si>
    <t>2011-10-05 00:00:00</t>
  </si>
  <si>
    <t>0040073</t>
  </si>
  <si>
    <t>2011-10-14 00:00:00</t>
  </si>
  <si>
    <t>0040071</t>
  </si>
  <si>
    <t>2011-10-26 00:00:00</t>
  </si>
  <si>
    <t>0040049</t>
  </si>
  <si>
    <t>2011-11-16 00:00:00</t>
  </si>
  <si>
    <t>0040099</t>
  </si>
  <si>
    <t>2012-01-03 00:00:00</t>
  </si>
  <si>
    <t>0040046</t>
  </si>
  <si>
    <t>2012-01-04 00:00:00</t>
  </si>
  <si>
    <t>0040097</t>
  </si>
  <si>
    <t>2012-01-13 00:00:00</t>
  </si>
  <si>
    <t>0040075</t>
  </si>
  <si>
    <t>2012-02-15 00:00:00</t>
  </si>
  <si>
    <t>0040080</t>
  </si>
  <si>
    <t>2012-02-22 00:00:00</t>
  </si>
  <si>
    <t>0040078</t>
  </si>
  <si>
    <t>2012-03-07 00:00:00</t>
  </si>
  <si>
    <t>0040077</t>
  </si>
  <si>
    <t>2012-03-14 00:00:00</t>
  </si>
  <si>
    <t>0040081</t>
  </si>
  <si>
    <t>2012-04-09 00:00:00</t>
  </si>
  <si>
    <t>0040082</t>
  </si>
  <si>
    <t>2012-04-11 00:00:00</t>
  </si>
  <si>
    <t>0040079</t>
  </si>
  <si>
    <t>2012-04-13 00:00:00</t>
  </si>
  <si>
    <t>0040072</t>
  </si>
  <si>
    <t>2011-05-26</t>
  </si>
  <si>
    <t>Is the subject a smoker?</t>
  </si>
  <si>
    <t>0040057</t>
  </si>
  <si>
    <t>2011-12-09 00:00:00</t>
  </si>
  <si>
    <t>0040102</t>
  </si>
  <si>
    <t>2009-05-13 00:00:00</t>
  </si>
  <si>
    <t>0040115</t>
  </si>
  <si>
    <t>0040033</t>
  </si>
  <si>
    <t>0040069</t>
  </si>
  <si>
    <t>2009-04-07 00:00:00</t>
  </si>
  <si>
    <t>0040067</t>
  </si>
  <si>
    <t>0040066</t>
  </si>
  <si>
    <t>2009-04-16 00:00:00</t>
  </si>
  <si>
    <t>0040068</t>
  </si>
  <si>
    <t>0040104</t>
  </si>
  <si>
    <t>2009-04-22 00:00:00</t>
  </si>
  <si>
    <t>0040128</t>
  </si>
  <si>
    <t>0040065</t>
  </si>
  <si>
    <t>2009-05-22 00:00:00</t>
  </si>
  <si>
    <t>0040135</t>
  </si>
  <si>
    <t>2009-05-28 00:00:00</t>
  </si>
  <si>
    <t>0040093</t>
  </si>
  <si>
    <t>2009-06-15 00:00:00</t>
  </si>
  <si>
    <t>0040129</t>
  </si>
  <si>
    <t>2009-06-18 00:00:00</t>
  </si>
  <si>
    <t>0040020</t>
  </si>
  <si>
    <t>2009-07-10 00:00:00</t>
  </si>
  <si>
    <t>0040023</t>
  </si>
  <si>
    <t>2009-07-21 00:00:00</t>
  </si>
  <si>
    <t>0040063</t>
  </si>
  <si>
    <t>2009-07-23 00:00:00</t>
  </si>
  <si>
    <t>0040045</t>
  </si>
  <si>
    <t>0040147</t>
  </si>
  <si>
    <t>2009-09-10 00:00:00</t>
  </si>
  <si>
    <t>0040138</t>
  </si>
  <si>
    <t>2009-09-15 00:00:00</t>
  </si>
  <si>
    <t>0040061</t>
  </si>
  <si>
    <t>0040116</t>
  </si>
  <si>
    <t>2009-09-24 00:00:00</t>
  </si>
  <si>
    <t>0040058</t>
  </si>
  <si>
    <t>0040113</t>
  </si>
  <si>
    <t>2009-09-30 00:00:00</t>
  </si>
  <si>
    <t>0040019</t>
  </si>
  <si>
    <t>2009-10-13 00:00:00</t>
  </si>
  <si>
    <t>0040141</t>
  </si>
  <si>
    <t>2009-10-20 00:00:00</t>
  </si>
  <si>
    <t>0040120</t>
  </si>
  <si>
    <t>2009-10-21 00:00:00</t>
  </si>
  <si>
    <t>0040056</t>
  </si>
  <si>
    <t>0040146</t>
  </si>
  <si>
    <t>2009-10-27 00:00:00</t>
  </si>
  <si>
    <t>0040130</t>
  </si>
  <si>
    <t>2009-10-28 00:00:00</t>
  </si>
  <si>
    <t>0040123</t>
  </si>
  <si>
    <t>2009-11-02 00:00:00</t>
  </si>
  <si>
    <t>0040055</t>
  </si>
  <si>
    <t>2009-11-04 00:00:00</t>
  </si>
  <si>
    <t>0040090</t>
  </si>
  <si>
    <t>2009-11-10 00:00:00</t>
  </si>
  <si>
    <t>0040054</t>
  </si>
  <si>
    <t>2009-11-16 00:00:00</t>
  </si>
  <si>
    <t>0040053</t>
  </si>
  <si>
    <t>2009-11-18 00:00:00</t>
  </si>
  <si>
    <t>0040087</t>
  </si>
  <si>
    <t>2009-11-20 00:00:00</t>
  </si>
  <si>
    <t>0040043</t>
  </si>
  <si>
    <t>2009-12-11 00:00:00</t>
  </si>
  <si>
    <t>0040091</t>
  </si>
  <si>
    <t>2009-12-14 00:00:00</t>
  </si>
  <si>
    <t>0040050</t>
  </si>
  <si>
    <t>2010-01-04 00:00:00</t>
  </si>
  <si>
    <t>0040119</t>
  </si>
  <si>
    <t>2010-01-06 00:00:00</t>
  </si>
  <si>
    <t>0040052</t>
  </si>
  <si>
    <t>2010-01-07 00:00:00</t>
  </si>
  <si>
    <t>0040051</t>
  </si>
  <si>
    <t>0040139</t>
  </si>
  <si>
    <t>2010-01-12 00:00:00</t>
  </si>
  <si>
    <t>0040036</t>
  </si>
  <si>
    <t>2010-01-14 00:00:00</t>
  </si>
  <si>
    <t>0040048</t>
  </si>
  <si>
    <t>0040134</t>
  </si>
  <si>
    <t>2010-01-21 00:00:00</t>
  </si>
  <si>
    <t>0040031</t>
  </si>
  <si>
    <t>2010-10-21 00:00:00</t>
  </si>
  <si>
    <t>0040086</t>
  </si>
  <si>
    <t>2010-10-22 00:00:00</t>
  </si>
  <si>
    <t>0040026</t>
  </si>
  <si>
    <t>2010-10-29 00:00:00</t>
  </si>
  <si>
    <t>0040030</t>
  </si>
  <si>
    <t>0040013</t>
  </si>
  <si>
    <t>2011-01-12 00:00:00</t>
  </si>
  <si>
    <t>0040111</t>
  </si>
  <si>
    <t>2011-02-08 00:00:00</t>
  </si>
  <si>
    <t>0040121</t>
  </si>
  <si>
    <t>2011-02-10 00:00:00</t>
  </si>
  <si>
    <t>0040114</t>
  </si>
  <si>
    <t>2011-02-23 00:00:00</t>
  </si>
  <si>
    <t>0040014</t>
  </si>
  <si>
    <t>2011-03-02 00:00:00</t>
  </si>
  <si>
    <t>0040125</t>
  </si>
  <si>
    <t>2011-03-22 00:00:00</t>
  </si>
  <si>
    <t>0040131</t>
  </si>
  <si>
    <t>2011-05-02 00:00:00</t>
  </si>
  <si>
    <t>0040027</t>
  </si>
  <si>
    <t>2011-06-16 00:00:00</t>
  </si>
  <si>
    <t>0040107</t>
  </si>
  <si>
    <t>0040018</t>
  </si>
  <si>
    <t>2011-07-26 00:00:00</t>
  </si>
  <si>
    <t>0040024</t>
  </si>
  <si>
    <t>2011-08-03 00:00:00</t>
  </si>
  <si>
    <t>0040140</t>
  </si>
  <si>
    <t>2011-08-11 00:00:00</t>
  </si>
  <si>
    <t>0040127</t>
  </si>
  <si>
    <t>2011-08-16 00:00:00</t>
  </si>
  <si>
    <t>0040124</t>
  </si>
  <si>
    <t>2011-09-14 00:00:00</t>
  </si>
  <si>
    <t>0040095</t>
  </si>
  <si>
    <t>2011-09-19 00:00:00</t>
  </si>
  <si>
    <t>0040144</t>
  </si>
  <si>
    <t>2011-09-28 00:00:00</t>
  </si>
  <si>
    <t>0040136</t>
  </si>
  <si>
    <t>2011-10-03 00:00:00</t>
  </si>
  <si>
    <t>0040074</t>
  </si>
  <si>
    <t>2011-11-30 00:00:00</t>
  </si>
  <si>
    <t>0040118</t>
  </si>
  <si>
    <t>2011-12-02 00:00:00</t>
  </si>
  <si>
    <t>0040035</t>
  </si>
  <si>
    <t>2012-01-24 00:00:00</t>
  </si>
  <si>
    <t>0040038</t>
  </si>
  <si>
    <t>2012-01-26 00:00:00</t>
  </si>
  <si>
    <t>0040062</t>
  </si>
  <si>
    <t>2012-01-31 00:00:00</t>
  </si>
  <si>
    <t>0040076</t>
  </si>
  <si>
    <t>2012-02-27 00:00:00</t>
  </si>
  <si>
    <t>0040017</t>
  </si>
  <si>
    <t>2012-03-15 00:00:00</t>
  </si>
  <si>
    <t>2009-03-19 00:00:00</t>
  </si>
  <si>
    <t>2011-04-18 00:00:00</t>
  </si>
  <si>
    <t>2011-05-19 00:00:00</t>
  </si>
  <si>
    <t>Ethnicity</t>
  </si>
  <si>
    <t>Education</t>
  </si>
  <si>
    <t>WTAR_RawScore</t>
  </si>
  <si>
    <t>WTAR_StandardScore</t>
  </si>
  <si>
    <t>WTAR_PredictedScore</t>
  </si>
  <si>
    <t>WTAR_Difference</t>
  </si>
  <si>
    <t>WASI_Vocab_RawScore</t>
  </si>
  <si>
    <t>WASI_Vocab_T-Score</t>
  </si>
  <si>
    <t>WASI_Similarities_RawScore</t>
  </si>
  <si>
    <t>WASI_Similarities_T-Score</t>
  </si>
  <si>
    <t>WASI_Verbal_T-Score</t>
  </si>
  <si>
    <t>WASI_Verbal_IQ</t>
  </si>
  <si>
    <t>WASI_BlockDesign_RawScore</t>
  </si>
  <si>
    <t>WASI_BlockDesign_T-Score</t>
  </si>
  <si>
    <t>WASI_MatrixReasoning_RawScore</t>
  </si>
  <si>
    <t>WASI_MatrixReasoning_T-Score</t>
  </si>
  <si>
    <t>WASI_Performance_T-Score</t>
  </si>
  <si>
    <t>WASI_Performance_IQ</t>
  </si>
  <si>
    <t>WASI_Sum_of_T-Scores</t>
  </si>
  <si>
    <t>WASI_Sum_IQ</t>
  </si>
  <si>
    <t>WAIS_SymbolSearch_CompletionTime</t>
  </si>
  <si>
    <t>WAIS_SymbolSearch_Correct</t>
  </si>
  <si>
    <t>WAIS_SymbolSearch_Incorrect</t>
  </si>
  <si>
    <t>WAIS_SymbolSearch_RawScore</t>
  </si>
  <si>
    <t>WAIS_SymbolSearch_ScaleScore</t>
  </si>
  <si>
    <t>WAIS_Coding_CompletionTime</t>
  </si>
  <si>
    <t>WAIS_Coding_RawScore</t>
  </si>
  <si>
    <t>WAIS_Coding_ScaleScore</t>
  </si>
  <si>
    <t>WAIS_PSI_Sum_of_ScaleScores</t>
  </si>
  <si>
    <t>WAIS_PSI</t>
  </si>
  <si>
    <t>TMT_A_RawScore</t>
  </si>
  <si>
    <t>TMT_A_T-Score</t>
  </si>
  <si>
    <t>BACS_SC_RawScore</t>
  </si>
  <si>
    <t>BACS_SC_T-Score</t>
  </si>
  <si>
    <t>HVLT_Trial_1</t>
  </si>
  <si>
    <t>HVLT_Trial_2</t>
  </si>
  <si>
    <t>HVLT_Trial_3</t>
  </si>
  <si>
    <t>HVLT_Trials_Sum</t>
  </si>
  <si>
    <t>HVLT_Trials_T-Score</t>
  </si>
  <si>
    <t>HVLT_Delay_RawScore</t>
  </si>
  <si>
    <t>HVLT_Delay_T-Score</t>
  </si>
  <si>
    <t>HVLT_DI_RawScore</t>
  </si>
  <si>
    <t>HVLT_DI_T-Score</t>
  </si>
  <si>
    <t>WMS-III_SS_RawScore</t>
  </si>
  <si>
    <t>WMS-III_SS_T-Score</t>
  </si>
  <si>
    <t>LNS_RawScore</t>
  </si>
  <si>
    <t>LNS_T-Score</t>
  </si>
  <si>
    <t>NAB_Mazes_RawScore</t>
  </si>
  <si>
    <t>NAB_Mazes_T-Score</t>
  </si>
  <si>
    <t>BVMT_Trial_1</t>
  </si>
  <si>
    <t>BVMT_Trial_2</t>
  </si>
  <si>
    <t>BVMT_Trial_3</t>
  </si>
  <si>
    <t>BVMT_Trials_Sum</t>
  </si>
  <si>
    <t>BVMT_Trials_T-Score</t>
  </si>
  <si>
    <t>BVMT_Trials_Delay_RawScore</t>
  </si>
  <si>
    <t>BVMT_Trials_Delay_T-Score</t>
  </si>
  <si>
    <t>FAS_F</t>
  </si>
  <si>
    <t>FAS_A</t>
  </si>
  <si>
    <t>FAS_S</t>
  </si>
  <si>
    <t>FAS_Sum_RawScore</t>
  </si>
  <si>
    <t>FAS_Sum_T-Score</t>
  </si>
  <si>
    <t>Animal_Fluency_RawScore</t>
  </si>
  <si>
    <t>Animal_Fluency_T-Score</t>
  </si>
  <si>
    <t>MSCEIT_RawScore</t>
  </si>
  <si>
    <t>MSCEIT_T-Score</t>
  </si>
  <si>
    <t>CPT-IP_2D</t>
  </si>
  <si>
    <t>CPT-IP_3D</t>
  </si>
  <si>
    <t>CPT-IP_4D</t>
  </si>
  <si>
    <t>CPT-IP_Mean</t>
  </si>
  <si>
    <t>CPT-IP_T-Score</t>
  </si>
  <si>
    <t>CPT-II_V.5_Omissions_Value</t>
  </si>
  <si>
    <t>CPT-II_V.5_Omissions_T-Score</t>
  </si>
  <si>
    <t>CPT-II_V.5_Comissions_Value</t>
  </si>
  <si>
    <t>CPT-II_V.5_Comissions_T-Score</t>
  </si>
  <si>
    <t>CPT-II_V.5_Hit_RT_Value</t>
  </si>
  <si>
    <t>CPT-II_V.5_Hit_RT_T-Score</t>
  </si>
  <si>
    <t>CPT-II_V.5_Hit_StdError_Value</t>
  </si>
  <si>
    <t>CPT-II_V.5_Hit_StdError_T-Score</t>
  </si>
  <si>
    <t>CPT-II_V.5_Variability_Value</t>
  </si>
  <si>
    <t>CPT-II_V.5_Variability_T-Score</t>
  </si>
  <si>
    <t>CPT-II_V.5_Detectability_Value</t>
  </si>
  <si>
    <t>CPT-II_V.5_Detectability_T-Score</t>
  </si>
  <si>
    <t>CPT-II_V.5_ResponseStyle_Value</t>
  </si>
  <si>
    <t>CPT-II_V.5_ResponseStyle_T-Score</t>
  </si>
  <si>
    <t>CPT-II_V.5_Perseverations_Value</t>
  </si>
  <si>
    <t>CPT-II_V.5_Perseverations_T-Score</t>
  </si>
  <si>
    <t>CPT-II_V.5_Hit_RT_BlockChange_Value</t>
  </si>
  <si>
    <t>CPT-II_V.5_Hit_RT_BlockChange_T-Score</t>
  </si>
  <si>
    <t>CPT-II_V.5_Hit_SE_BlockChange_Value</t>
  </si>
  <si>
    <t>CPT-II_V.5_Hit_SE_BlockChange_T-Score</t>
  </si>
  <si>
    <t>CPT-II_V.5_Hit_RT_ISI_Change_Value</t>
  </si>
  <si>
    <t>CPT-II_V.5_Hit_RT_ISI_Change_T-Score</t>
  </si>
  <si>
    <t>CPT-II_V.5_Hit_SE_ISI_Change_Value</t>
  </si>
  <si>
    <t>CPT-II_V.5_Hit_SE_ISI_Change_T-Score</t>
  </si>
  <si>
    <t>MatricsDomain_ProcessingSpeed_T-Score</t>
  </si>
  <si>
    <t>MatricsDomain_AttentionVigilance_T-Score</t>
  </si>
  <si>
    <t>MatricsDomain_WorkingMemory_T-Score</t>
  </si>
  <si>
    <t>MatricsDomain_VerbalLearning_T-Score</t>
  </si>
  <si>
    <t>MatricsDomain_VisualLearning_T-Score</t>
  </si>
  <si>
    <t>MatricsDomain_ReasoningProblemSolving_T-Score</t>
  </si>
  <si>
    <t>MatricsDomain_SocialCognition_T-Score</t>
  </si>
  <si>
    <t>MatricsDomain_OverallCompositeScore_T-Score</t>
  </si>
  <si>
    <t>Administration Type</t>
  </si>
  <si>
    <t>2012-03-02 00:00:00</t>
  </si>
  <si>
    <t>2012-03-01 00:00:00</t>
  </si>
  <si>
    <t>2009-04-17 00:00:00</t>
  </si>
  <si>
    <t>2009-06-10 00:00:00</t>
  </si>
  <si>
    <t>2009-06-22 00:00:00</t>
  </si>
  <si>
    <t>2009-06-24 00:00:00</t>
  </si>
  <si>
    <t>2009-06-25 00:00:00</t>
  </si>
  <si>
    <t>2009-06-26 00:00:00</t>
  </si>
  <si>
    <t>2009-07-15 00:00:00</t>
  </si>
  <si>
    <t>2009-07-20 00:00:00</t>
  </si>
  <si>
    <t>2009-07-22 00:00:00</t>
  </si>
  <si>
    <t>2009-07-24 00:00:00</t>
  </si>
  <si>
    <t>2009-10-14 00:00:00</t>
  </si>
  <si>
    <t>2009-10-16 00:00:00</t>
  </si>
  <si>
    <t>2009-10-22 00:00:00</t>
  </si>
  <si>
    <t>2009-10-30 00:00:00</t>
  </si>
  <si>
    <t>2009-11-23 00:00:00</t>
  </si>
  <si>
    <t>2009-11-30 00:00:00</t>
  </si>
  <si>
    <t>2009-12-09 00:00:00</t>
  </si>
  <si>
    <t>2009-12-18 00:00:00</t>
  </si>
  <si>
    <t>2009-12-21 00:00:00</t>
  </si>
  <si>
    <t>2010-01-08 00:00:00</t>
  </si>
  <si>
    <t>2010-01-25 00:00:00</t>
  </si>
  <si>
    <t>2010-01-26 00:00:00</t>
  </si>
  <si>
    <t>2010-01-27 00:00:00</t>
  </si>
  <si>
    <t>2010-02-09 00:00:00</t>
  </si>
  <si>
    <t>2010-02-10 00:00:00</t>
  </si>
  <si>
    <t>2010-02-11 00:00:00</t>
  </si>
  <si>
    <t>2010-03-05 00:00:00</t>
  </si>
  <si>
    <t>2010-03-26 00:00:00</t>
  </si>
  <si>
    <t>2010-11-19 00:00:00</t>
  </si>
  <si>
    <t>2011-02-22 00:00:00</t>
  </si>
  <si>
    <t>2011-04-06 00:00:00</t>
  </si>
  <si>
    <t>2011-05-03 00:00:00</t>
  </si>
  <si>
    <t>2011-06-13 00:00:00</t>
  </si>
  <si>
    <t>2011-07-21 00:00:00</t>
  </si>
  <si>
    <t>2011-08-02 00:00:00</t>
  </si>
  <si>
    <t>2011-08-15 00:00:00</t>
  </si>
  <si>
    <t>2011-08-30 00:00:00</t>
  </si>
  <si>
    <t>2011-09-01 00:00:00</t>
  </si>
  <si>
    <t>2011-09-21 00:00:00</t>
  </si>
  <si>
    <t>2011-10-31 00:00:00</t>
  </si>
  <si>
    <t>2011-11-08 00:00:00</t>
  </si>
  <si>
    <t>2011-11-14 00:00:00</t>
  </si>
  <si>
    <t>2011-12-19 00:00:00</t>
  </si>
  <si>
    <t>2011-12-20 00:00:00</t>
  </si>
  <si>
    <t>2012-02-16 00:00:00</t>
  </si>
  <si>
    <t>2012-03-08 00:00:00</t>
  </si>
  <si>
    <t>2012-03-13 00:00:00</t>
  </si>
  <si>
    <t>2012-03-20 00:00:00</t>
  </si>
  <si>
    <t>2009-04-15 00:00:00</t>
  </si>
  <si>
    <t>2009-06-04 00:00:00</t>
  </si>
  <si>
    <t>2009-06-09 00:00:00</t>
  </si>
  <si>
    <t>2009-06-29 00:00:00</t>
  </si>
  <si>
    <t>2009-07-08 00:00:00</t>
  </si>
  <si>
    <t>2009-07-13 00:00:00</t>
  </si>
  <si>
    <t>2009-08-20 00:00:00</t>
  </si>
  <si>
    <t>2009-10-26 00:00:00</t>
  </si>
  <si>
    <t>2009-11-03 00:00:00</t>
  </si>
  <si>
    <t>2010-02-17 00:00:00</t>
  </si>
  <si>
    <t>2010-03-09 00:00:00</t>
  </si>
  <si>
    <t>2010-03-12 00:00:00</t>
  </si>
  <si>
    <t>2010-04-16 00:00:00</t>
  </si>
  <si>
    <t>2010-06-08 00:00:00</t>
  </si>
  <si>
    <t>2010-06-21 00:00:00</t>
  </si>
  <si>
    <t>2010-06-24 00:00:00</t>
  </si>
  <si>
    <t>2010-07-07 00:00:00</t>
  </si>
  <si>
    <t>2010-07-28 00:00:00</t>
  </si>
  <si>
    <t>2010-08-04 00:00:00</t>
  </si>
  <si>
    <t>2010-08-10 00:00:00</t>
  </si>
  <si>
    <t>2010-10-05 00:00:00</t>
  </si>
  <si>
    <t>2010-10-27 00:00:00</t>
  </si>
  <si>
    <t>2010-11-11 00:00:00</t>
  </si>
  <si>
    <t>2010-11-18 00:00:00</t>
  </si>
  <si>
    <t>2011-04-20 00:00:00</t>
  </si>
  <si>
    <t>2011-04-21 00:00:00</t>
  </si>
  <si>
    <t>2011-04-27 00:00:00</t>
  </si>
  <si>
    <t>2011-05-12 00:00:00</t>
  </si>
  <si>
    <t>2011-05-20 00:00:00</t>
  </si>
  <si>
    <t>2011-05-24 00:00:00</t>
  </si>
  <si>
    <t>2011-06-02 00:00:00</t>
  </si>
  <si>
    <t>2011-06-09 00:00:00</t>
  </si>
  <si>
    <t>2011-06-27 00:00:00</t>
  </si>
  <si>
    <t>2011-07-08 00:00:00</t>
  </si>
  <si>
    <t>2011-09-29 00:00:00</t>
  </si>
  <si>
    <t>2011-10-04 00:00:00</t>
  </si>
  <si>
    <t>2011-10-11 00:00:00</t>
  </si>
  <si>
    <t>2011-11-10 00:00:00</t>
  </si>
  <si>
    <t>2011-11-11 00:00:00</t>
  </si>
  <si>
    <t>2011-11-23 00:00:00</t>
  </si>
  <si>
    <t>2011-12-13 00:00:00</t>
  </si>
  <si>
    <t>2011-12-21 00:00:00</t>
  </si>
  <si>
    <t>2012-01-17 00:00:00</t>
  </si>
  <si>
    <t>2012-01-23 00:00:00</t>
  </si>
  <si>
    <t>2012-02-01 00:00:00</t>
  </si>
  <si>
    <t>2012-02-10 00:00:00</t>
  </si>
  <si>
    <t>2012-02-23 00:00:00</t>
  </si>
  <si>
    <t>2012-03-21 00:00:00</t>
  </si>
  <si>
    <t>2012-03-22 00:00:00</t>
  </si>
  <si>
    <t>2012-04-20 00:00:00</t>
  </si>
  <si>
    <t>2012-04-24 00:00:00</t>
  </si>
  <si>
    <t>2012-05-16 00:00:00</t>
  </si>
  <si>
    <t>CODEM_1</t>
  </si>
  <si>
    <t>CODEM_16</t>
  </si>
  <si>
    <t>CODEM_17</t>
  </si>
  <si>
    <t>CODEM_18</t>
  </si>
  <si>
    <t>CODEM_19</t>
  </si>
  <si>
    <t>CODEM_20</t>
  </si>
  <si>
    <t>CODEM_21</t>
  </si>
  <si>
    <t>CODEM_22</t>
  </si>
  <si>
    <t>Current Age</t>
  </si>
  <si>
    <t>Age at first psychiatric illness</t>
  </si>
  <si>
    <t>Age at first psychotic symptoms?(e.g., delusions, hallucinations, thought disorder)</t>
  </si>
  <si>
    <t>Age at first psychiatric hospitalization</t>
  </si>
  <si>
    <t>Number of hospitalizations for psychiatric illness?</t>
  </si>
  <si>
    <t>Total duration of psychiatric hospitalizations</t>
  </si>
  <si>
    <t>Time since last psychiatric hospitalization? if patient is identified during an admission, record time since prior hospitalization</t>
  </si>
  <si>
    <t>How long had the patient been treated in an outpatient setting?</t>
  </si>
  <si>
    <t>md</t>
  </si>
  <si>
    <t>unknown</t>
  </si>
  <si>
    <t>5 days</t>
  </si>
  <si>
    <t>N/A</t>
  </si>
  <si>
    <t>15-20</t>
  </si>
  <si>
    <t>b_COMED_2</t>
  </si>
  <si>
    <t>Current Medication</t>
  </si>
  <si>
    <t>b_COMED_2A</t>
  </si>
  <si>
    <t>Med (other)</t>
  </si>
  <si>
    <t>Geodon</t>
  </si>
  <si>
    <t>b_COMED_3</t>
  </si>
  <si>
    <t>Dose</t>
  </si>
  <si>
    <t>12.5 mg</t>
  </si>
  <si>
    <t>200 mg</t>
  </si>
  <si>
    <t>50 mg</t>
  </si>
  <si>
    <t>20 mg</t>
  </si>
  <si>
    <t>3 mg</t>
  </si>
  <si>
    <t>240 mg</t>
  </si>
  <si>
    <t>600 mg</t>
  </si>
  <si>
    <t>130 mg</t>
  </si>
  <si>
    <t>10 mg</t>
  </si>
  <si>
    <t>300 mg</t>
  </si>
  <si>
    <t>800 mg</t>
  </si>
  <si>
    <t>60 mg</t>
  </si>
  <si>
    <t>2 mg</t>
  </si>
  <si>
    <t>15 mg</t>
  </si>
  <si>
    <t>500 mg</t>
  </si>
  <si>
    <t>30 mg</t>
  </si>
  <si>
    <t>40mg</t>
  </si>
  <si>
    <t>5 mg</t>
  </si>
  <si>
    <t>4 mg</t>
  </si>
  <si>
    <t>15mg</t>
  </si>
  <si>
    <t>80 mg</t>
  </si>
  <si>
    <t>1 mg</t>
  </si>
  <si>
    <t>12 mg</t>
  </si>
  <si>
    <t>150 mg</t>
  </si>
  <si>
    <t>400 mg</t>
  </si>
  <si>
    <t>37.5 mg</t>
  </si>
  <si>
    <t>160 mg</t>
  </si>
  <si>
    <t>100 mg</t>
  </si>
  <si>
    <t>40 mg</t>
  </si>
  <si>
    <t>7.5 mg</t>
  </si>
  <si>
    <t>300 mg IM</t>
  </si>
  <si>
    <t>16 mg</t>
  </si>
  <si>
    <t>3mg</t>
  </si>
  <si>
    <t>b_COMED_3A</t>
  </si>
  <si>
    <t>Frequency</t>
  </si>
  <si>
    <t>b_COMED_3B</t>
  </si>
  <si>
    <t>Start Date</t>
  </si>
  <si>
    <t>b_COMED_6</t>
  </si>
  <si>
    <t>Olanzapine Equivelant</t>
  </si>
  <si>
    <t>b_COMED_8</t>
  </si>
  <si>
    <t>Gardner CPZ Equivelance</t>
  </si>
  <si>
    <t>b_COMED_7</t>
  </si>
  <si>
    <t>Total Olazapine Equivalent Dose</t>
  </si>
  <si>
    <t>b_COMED_9</t>
  </si>
  <si>
    <t>Total CPZ Equivelant Dose</t>
  </si>
  <si>
    <t>b_COMED_2_2</t>
  </si>
  <si>
    <t>b_COMED_3_2</t>
  </si>
  <si>
    <t>0.5 mg</t>
  </si>
  <si>
    <t>10mg</t>
  </si>
  <si>
    <t>.5 mg</t>
  </si>
  <si>
    <t>175 mg</t>
  </si>
  <si>
    <t>450 mg</t>
  </si>
  <si>
    <t>25 mg IM</t>
  </si>
  <si>
    <t>20mg</t>
  </si>
  <si>
    <t>2500 mg</t>
  </si>
  <si>
    <t>b_COMED_3A_2</t>
  </si>
  <si>
    <t>b_COMED_3B_2</t>
  </si>
  <si>
    <t>b_COMED_6_2</t>
  </si>
  <si>
    <t>b_COMED_7_2</t>
  </si>
  <si>
    <t>b_COMED_8_2</t>
  </si>
  <si>
    <t>b_COMED_9_2</t>
  </si>
  <si>
    <t>b_COMED_2_3</t>
  </si>
  <si>
    <t>b_COMED_2A_3</t>
  </si>
  <si>
    <t>Pravastatin</t>
  </si>
  <si>
    <t>Fanapt</t>
  </si>
  <si>
    <t>b_COMED_3_3</t>
  </si>
  <si>
    <t>1.5mg</t>
  </si>
  <si>
    <t>b_COMED_3A_3</t>
  </si>
  <si>
    <t>b_COMED_3B_3</t>
  </si>
  <si>
    <t>b_COMED_6_3</t>
  </si>
  <si>
    <t>b_COMED_7_3</t>
  </si>
  <si>
    <t>b_COMED_8_3</t>
  </si>
  <si>
    <t>b_COMED_9_3</t>
  </si>
  <si>
    <t>b_COMED_2_4</t>
  </si>
  <si>
    <t>b_COMED_2A_4</t>
  </si>
  <si>
    <t>Prazosin</t>
  </si>
  <si>
    <t>Metformin</t>
  </si>
  <si>
    <t>Lisinopril</t>
  </si>
  <si>
    <t>b_COMED_3_4</t>
  </si>
  <si>
    <t>b_COMED_3A_4</t>
  </si>
  <si>
    <t>b_COMED_3B_4</t>
  </si>
  <si>
    <t>b_COMED_6_4</t>
  </si>
  <si>
    <t>b_COMED_7_4</t>
  </si>
  <si>
    <t>b_COMED_8_4</t>
  </si>
  <si>
    <t>b_COMED_9_4</t>
  </si>
  <si>
    <t>b_COMED_2_5</t>
  </si>
  <si>
    <t>b_COMED_2A_5</t>
  </si>
  <si>
    <t>Levothyroxine</t>
  </si>
  <si>
    <t>b_COMED_3_5</t>
  </si>
  <si>
    <t>112 mcg</t>
  </si>
  <si>
    <t>b_COMED_3A_5</t>
  </si>
  <si>
    <t>b_COMED_3B_5</t>
  </si>
  <si>
    <t>b_COMED_6_5</t>
  </si>
  <si>
    <t>b_COMED_7_5</t>
  </si>
  <si>
    <t>b_COMED_8_5</t>
  </si>
  <si>
    <t>b_COMED_9_5</t>
  </si>
  <si>
    <t>value</t>
  </si>
  <si>
    <t>label</t>
  </si>
  <si>
    <t>Alprazolam</t>
  </si>
  <si>
    <t>Xanax/Niravam</t>
  </si>
  <si>
    <t>Niravam</t>
  </si>
  <si>
    <t>Buspirone</t>
  </si>
  <si>
    <t>Buspar</t>
  </si>
  <si>
    <t>Librium</t>
  </si>
  <si>
    <t>Chlordiazepoxide</t>
  </si>
  <si>
    <t>Clonazepam</t>
  </si>
  <si>
    <t>Klonopin</t>
  </si>
  <si>
    <t>Clorazepate</t>
  </si>
  <si>
    <t>Tranxene</t>
  </si>
  <si>
    <t>Diazepam</t>
  </si>
  <si>
    <t>Diastat</t>
  </si>
  <si>
    <t>Valium/Diastat</t>
  </si>
  <si>
    <t>Simply Sleep Caplets</t>
  </si>
  <si>
    <t>Diphenhydramine</t>
  </si>
  <si>
    <t>Benadryl/Simply Sleep Caplets</t>
  </si>
  <si>
    <t>Estazolam</t>
  </si>
  <si>
    <t>Prosom</t>
  </si>
  <si>
    <t>Lunesta</t>
  </si>
  <si>
    <t>eszopiclone</t>
  </si>
  <si>
    <t>Dalmane</t>
  </si>
  <si>
    <t>Flurazepam</t>
  </si>
  <si>
    <t>Paxipam</t>
  </si>
  <si>
    <t>Halazepam</t>
  </si>
  <si>
    <t>Atarax</t>
  </si>
  <si>
    <t>Hydroxyzine</t>
  </si>
  <si>
    <t>Vistaril</t>
  </si>
  <si>
    <t>Ativan</t>
  </si>
  <si>
    <t>razepam</t>
  </si>
  <si>
    <t>Oxazepam</t>
  </si>
  <si>
    <t>Serax</t>
  </si>
  <si>
    <t>Quazepam</t>
  </si>
  <si>
    <t>Doral</t>
  </si>
  <si>
    <t>Ramelteon</t>
  </si>
  <si>
    <t>Rozerem</t>
  </si>
  <si>
    <t>Temazepam</t>
  </si>
  <si>
    <t>Restoril</t>
  </si>
  <si>
    <t>Halcion</t>
  </si>
  <si>
    <t>Triazolam</t>
  </si>
  <si>
    <t>Zaleplon</t>
  </si>
  <si>
    <t>Sonata</t>
  </si>
  <si>
    <t>Zolpidem</t>
  </si>
  <si>
    <t>Ambien</t>
  </si>
  <si>
    <t>Symmetrel</t>
  </si>
  <si>
    <t>Amantadine</t>
  </si>
  <si>
    <t>Benzotropine</t>
  </si>
  <si>
    <t>Cogentin</t>
  </si>
  <si>
    <t>Propranolol</t>
  </si>
  <si>
    <t>Inderal</t>
  </si>
  <si>
    <t>Trihexyphenidyl</t>
  </si>
  <si>
    <t>Artane</t>
  </si>
  <si>
    <t>Amitriptyline</t>
  </si>
  <si>
    <t>Elavil/Endep</t>
  </si>
  <si>
    <t>Endep</t>
  </si>
  <si>
    <t>Buproprion</t>
  </si>
  <si>
    <t>Wellbutrin</t>
  </si>
  <si>
    <t>Citalopram</t>
  </si>
  <si>
    <t>Celexa</t>
  </si>
  <si>
    <t>Clomipramine</t>
  </si>
  <si>
    <t>Anafranil</t>
  </si>
  <si>
    <t>Desipramine</t>
  </si>
  <si>
    <t>Norpramin</t>
  </si>
  <si>
    <t>Sinequan</t>
  </si>
  <si>
    <t>Doxepin</t>
  </si>
  <si>
    <t>Cymbalta</t>
  </si>
  <si>
    <t>Duloxetine</t>
  </si>
  <si>
    <t>Lexapro</t>
  </si>
  <si>
    <t>Escitalopram</t>
  </si>
  <si>
    <t>Fluoxetine</t>
  </si>
  <si>
    <t>Prozac</t>
  </si>
  <si>
    <t>Fluvoxamine</t>
  </si>
  <si>
    <t>Luvox</t>
  </si>
  <si>
    <t>Janimine/Tofranil</t>
  </si>
  <si>
    <t>Tofranil</t>
  </si>
  <si>
    <t>Imipramine</t>
  </si>
  <si>
    <t>Mirtazapine</t>
  </si>
  <si>
    <t>Remeron</t>
  </si>
  <si>
    <t>Serzone</t>
  </si>
  <si>
    <t>Nefazodone</t>
  </si>
  <si>
    <t>Aventyl/Pamelor</t>
  </si>
  <si>
    <t>Pamelor</t>
  </si>
  <si>
    <t>Nortriptyline</t>
  </si>
  <si>
    <t>Paroxetine</t>
  </si>
  <si>
    <t>Paxil</t>
  </si>
  <si>
    <t>Phenelzine</t>
  </si>
  <si>
    <t>Nardil</t>
  </si>
  <si>
    <t>Vivactil</t>
  </si>
  <si>
    <t>Protriptyline</t>
  </si>
  <si>
    <t>Sertraline</t>
  </si>
  <si>
    <t>Zoloft</t>
  </si>
  <si>
    <t>Tranycypromine</t>
  </si>
  <si>
    <t>Parnate</t>
  </si>
  <si>
    <t>Trazaone</t>
  </si>
  <si>
    <t>Desyrel</t>
  </si>
  <si>
    <t>Trimipramine</t>
  </si>
  <si>
    <t>Surmontil</t>
  </si>
  <si>
    <t>Effexor</t>
  </si>
  <si>
    <t>Venlafaxine</t>
  </si>
  <si>
    <t>Tegretol</t>
  </si>
  <si>
    <t>Carbamazepine</t>
  </si>
  <si>
    <t>Lithium</t>
  </si>
  <si>
    <t>Lithonate</t>
  </si>
  <si>
    <t>Eskalith</t>
  </si>
  <si>
    <t>Lithobid</t>
  </si>
  <si>
    <t>Divalproex</t>
  </si>
  <si>
    <t>Depakote</t>
  </si>
  <si>
    <t>Neurontin</t>
  </si>
  <si>
    <t>Gabapentine</t>
  </si>
  <si>
    <t>Lamotrigine</t>
  </si>
  <si>
    <t>Lamictal</t>
  </si>
  <si>
    <t>Keppra</t>
  </si>
  <si>
    <t>Levetiracetam</t>
  </si>
  <si>
    <t>Oxcarbazepien</t>
  </si>
  <si>
    <t>Trileptal</t>
  </si>
  <si>
    <t>Topamax</t>
  </si>
  <si>
    <t>Topiramate</t>
  </si>
  <si>
    <t>Depacon</t>
  </si>
  <si>
    <t>Valproic Acid</t>
  </si>
  <si>
    <t>Depakene</t>
  </si>
  <si>
    <t>Aripiprazole</t>
  </si>
  <si>
    <t>Abilify</t>
  </si>
  <si>
    <t>Clozapine</t>
  </si>
  <si>
    <t>Clozaril</t>
  </si>
  <si>
    <t>Zyprexa</t>
  </si>
  <si>
    <t>Olanzapine</t>
  </si>
  <si>
    <t>Seroquel</t>
  </si>
  <si>
    <t>Quetiapine</t>
  </si>
  <si>
    <t>Risperdal</t>
  </si>
  <si>
    <t>Risperidone</t>
  </si>
  <si>
    <t>Risperdal Consta</t>
  </si>
  <si>
    <t>Risperidone Microspheres</t>
  </si>
  <si>
    <t>Ziprasidone</t>
  </si>
  <si>
    <t>Thorazine</t>
  </si>
  <si>
    <t>Chlorpromazine</t>
  </si>
  <si>
    <t>Permatil</t>
  </si>
  <si>
    <t>Fluphenazine</t>
  </si>
  <si>
    <t>Prolixin</t>
  </si>
  <si>
    <t>Fluphenazine decanoate</t>
  </si>
  <si>
    <t>Prolixin Dec</t>
  </si>
  <si>
    <t>Haloperidol</t>
  </si>
  <si>
    <t>Haldol</t>
  </si>
  <si>
    <t>Holdol Dec</t>
  </si>
  <si>
    <t>Haloperidol decanoate</t>
  </si>
  <si>
    <t>Loxitane</t>
  </si>
  <si>
    <t>Loxapine</t>
  </si>
  <si>
    <t>Mesoridazine</t>
  </si>
  <si>
    <t>Serentil</t>
  </si>
  <si>
    <t>Molindone</t>
  </si>
  <si>
    <t>Moban</t>
  </si>
  <si>
    <t>Trilafon</t>
  </si>
  <si>
    <t>Perphenazine</t>
  </si>
  <si>
    <t>Pimozide</t>
  </si>
  <si>
    <t>Orap</t>
  </si>
  <si>
    <t>Thiothixene</t>
  </si>
  <si>
    <t>Navane</t>
  </si>
  <si>
    <t>Thloridazine</t>
  </si>
  <si>
    <t>Mellaril</t>
  </si>
  <si>
    <t>Trifluoperazine</t>
  </si>
  <si>
    <t>Stelazine</t>
  </si>
  <si>
    <t>0040070</t>
  </si>
  <si>
    <t>0040083</t>
  </si>
  <si>
    <t>A00024568</t>
  </si>
  <si>
    <t>A00000909</t>
  </si>
  <si>
    <t>A00006754</t>
  </si>
  <si>
    <t>A00018403</t>
  </si>
  <si>
    <t>A00024198</t>
  </si>
  <si>
    <t>A00000541</t>
  </si>
  <si>
    <t>A00000456</t>
  </si>
  <si>
    <t>A00002480</t>
  </si>
  <si>
    <t>A00000838</t>
  </si>
  <si>
    <t>A00001181</t>
  </si>
  <si>
    <t>A00001251</t>
  </si>
  <si>
    <t>A00001243</t>
  </si>
  <si>
    <t>A00001452</t>
  </si>
  <si>
    <t>A00002198</t>
  </si>
  <si>
    <t>A00003150</t>
  </si>
  <si>
    <t>A00019293</t>
  </si>
  <si>
    <t>A00018979</t>
  </si>
  <si>
    <t>A00028406</t>
  </si>
  <si>
    <t>A00007409</t>
  </si>
  <si>
    <t>A00023866</t>
  </si>
  <si>
    <t>A00020787</t>
  </si>
  <si>
    <t>A00009280</t>
  </si>
  <si>
    <t>A00023800</t>
  </si>
  <si>
    <t>A00010150</t>
  </si>
  <si>
    <t>A00012767</t>
  </si>
  <si>
    <t>A00004087</t>
  </si>
  <si>
    <t>A00012995</t>
  </si>
  <si>
    <t>A00013216</t>
  </si>
  <si>
    <t>A00023158</t>
  </si>
  <si>
    <t>A00013363</t>
  </si>
  <si>
    <t>A00026907</t>
  </si>
  <si>
    <t>A00014830</t>
  </si>
  <si>
    <t>A00014839</t>
  </si>
  <si>
    <t>A00014804</t>
  </si>
  <si>
    <t>A00028409</t>
  </si>
  <si>
    <t>A00020805</t>
  </si>
  <si>
    <t>A00015201</t>
  </si>
  <si>
    <t>A00015759</t>
  </si>
  <si>
    <t>A00014175</t>
  </si>
  <si>
    <t>A00014590</t>
  </si>
  <si>
    <t>A00018434</t>
  </si>
  <si>
    <t>A00016723</t>
  </si>
  <si>
    <t>A00026945</t>
  </si>
  <si>
    <t>A00017147</t>
  </si>
  <si>
    <t>A00018716</t>
  </si>
  <si>
    <t>A00019750</t>
  </si>
  <si>
    <t>A00020414</t>
  </si>
  <si>
    <t>A00020984</t>
  </si>
  <si>
    <t>A00014719</t>
  </si>
  <si>
    <t>A00021058</t>
  </si>
  <si>
    <t>A00021081</t>
  </si>
  <si>
    <t>A00021085</t>
  </si>
  <si>
    <t>A00022490</t>
  </si>
  <si>
    <t>A00022619</t>
  </si>
  <si>
    <t>A00022653</t>
  </si>
  <si>
    <t>A00022835</t>
  </si>
  <si>
    <t>A00023131</t>
  </si>
  <si>
    <t>A00023143</t>
  </si>
  <si>
    <t>A00023246</t>
  </si>
  <si>
    <t>A00023243</t>
  </si>
  <si>
    <t>A00023337</t>
  </si>
  <si>
    <t>A00023730</t>
  </si>
  <si>
    <t>A00023848</t>
  </si>
  <si>
    <t>A00024228</t>
  </si>
  <si>
    <t>A00024372</t>
  </si>
  <si>
    <t>A00024663</t>
  </si>
  <si>
    <t>A00024820</t>
  </si>
  <si>
    <t>A00024932</t>
  </si>
  <si>
    <t>A00024955</t>
  </si>
  <si>
    <t>A00027411</t>
  </si>
  <si>
    <t>A00027391</t>
  </si>
  <si>
    <t>A00027537</t>
  </si>
  <si>
    <t>A00027755</t>
  </si>
  <si>
    <t>A00027787</t>
  </si>
  <si>
    <t>A00028410</t>
  </si>
  <si>
    <t>A00027487</t>
  </si>
  <si>
    <t>A00028408</t>
  </si>
  <si>
    <t>A00004507</t>
  </si>
  <si>
    <t>A00028303</t>
  </si>
  <si>
    <t>A00027410</t>
  </si>
  <si>
    <t>A00028402</t>
  </si>
  <si>
    <t>A00028405</t>
  </si>
  <si>
    <t>A00028582</t>
  </si>
  <si>
    <t>A00015518</t>
  </si>
  <si>
    <t>A00020602</t>
  </si>
  <si>
    <t>A00014522</t>
  </si>
  <si>
    <t>A00022509</t>
  </si>
  <si>
    <t>A00022500</t>
  </si>
  <si>
    <t>A00009656</t>
  </si>
  <si>
    <t>A00022687</t>
  </si>
  <si>
    <t>A00022400</t>
  </si>
  <si>
    <t>A00018598</t>
  </si>
  <si>
    <t>A00024535</t>
  </si>
  <si>
    <t>A00018317</t>
  </si>
  <si>
    <t>A00014225</t>
  </si>
  <si>
    <t>A00024510</t>
  </si>
  <si>
    <t>A00011107</t>
  </si>
  <si>
    <t>A00015648</t>
  </si>
  <si>
    <t>A00028189</t>
  </si>
  <si>
    <t>A00019349</t>
  </si>
  <si>
    <t>A00023750</t>
  </si>
  <si>
    <t>A00024446</t>
  </si>
  <si>
    <t>A00016720</t>
  </si>
  <si>
    <t>A00025969</t>
  </si>
  <si>
    <t>A00014636</t>
  </si>
  <si>
    <t>A00027119</t>
  </si>
  <si>
    <t>A00018553</t>
  </si>
  <si>
    <t>A00014607</t>
  </si>
  <si>
    <t>A00024959</t>
  </si>
  <si>
    <t>A00027969</t>
  </si>
  <si>
    <t>A00017294</t>
  </si>
  <si>
    <t>A00024953</t>
  </si>
  <si>
    <t>A00023095</t>
  </si>
  <si>
    <t>A00013816</t>
  </si>
  <si>
    <t>A00014898</t>
  </si>
  <si>
    <t>A00023120</t>
  </si>
  <si>
    <t>A00021591</t>
  </si>
  <si>
    <t>A00028052</t>
  </si>
  <si>
    <t>A00021072</t>
  </si>
  <si>
    <t>A00022837</t>
  </si>
  <si>
    <t>A00011265</t>
  </si>
  <si>
    <t>A00028404</t>
  </si>
  <si>
    <t>A00022773</t>
  </si>
  <si>
    <t>A00000300</t>
  </si>
  <si>
    <t>A00011725</t>
  </si>
  <si>
    <t>A00018129</t>
  </si>
  <si>
    <t>A00015826</t>
  </si>
  <si>
    <t>A00024546</t>
  </si>
  <si>
    <t>A00024160</t>
  </si>
  <si>
    <t>A00022729</t>
  </si>
  <si>
    <t>A00019888</t>
  </si>
  <si>
    <t>A00020416</t>
  </si>
  <si>
    <t>A00023590</t>
  </si>
  <si>
    <t>A00020895</t>
  </si>
  <si>
    <t>A00024301</t>
  </si>
  <si>
    <t>A00014120</t>
  </si>
  <si>
    <t>A00016197</t>
  </si>
  <si>
    <t>A00023330</t>
  </si>
  <si>
    <t>A00020968</t>
  </si>
  <si>
    <t>A00022592</t>
  </si>
  <si>
    <t>A00022810</t>
  </si>
  <si>
    <t>A00024684</t>
  </si>
  <si>
    <t>A00000368</t>
  </si>
  <si>
    <t>A00010684</t>
  </si>
  <si>
    <t>A00021598</t>
  </si>
  <si>
    <t>A00022727</t>
  </si>
  <si>
    <t>A00013140</t>
  </si>
  <si>
    <t>Male</t>
  </si>
  <si>
    <t>Right</t>
  </si>
  <si>
    <t>None</t>
  </si>
  <si>
    <t>Female</t>
  </si>
  <si>
    <t>Left</t>
  </si>
  <si>
    <t>Both</t>
  </si>
  <si>
    <t>Instrument</t>
  </si>
  <si>
    <t>Question Label</t>
  </si>
  <si>
    <t>Question Description</t>
  </si>
  <si>
    <t>Question ID</t>
  </si>
  <si>
    <t>Response Label</t>
  </si>
  <si>
    <t>Response Value</t>
  </si>
  <si>
    <t>Response Description</t>
  </si>
  <si>
    <t>AIMS</t>
  </si>
  <si>
    <t>Muscles of Facial Expression</t>
  </si>
  <si>
    <t>FIAIM_1</t>
  </si>
  <si>
    <t>Minimal</t>
  </si>
  <si>
    <t>Mild</t>
  </si>
  <si>
    <t>Moderate</t>
  </si>
  <si>
    <t>Severe</t>
  </si>
  <si>
    <t>Not Applicable</t>
  </si>
  <si>
    <t>Don't Know</t>
  </si>
  <si>
    <t>DK</t>
  </si>
  <si>
    <t>Missing Data</t>
  </si>
  <si>
    <t>Lips and Perioral Area</t>
  </si>
  <si>
    <t>FIAIM_2</t>
  </si>
  <si>
    <t>Jaw</t>
  </si>
  <si>
    <t>FIAIM_3</t>
  </si>
  <si>
    <t>Tongue</t>
  </si>
  <si>
    <t>FIAIM_4</t>
  </si>
  <si>
    <t>Upper (arms, wrists, hands, fingers)</t>
  </si>
  <si>
    <t>FIAIM_5</t>
  </si>
  <si>
    <t>Lower (legs, knees, ankles, toes)</t>
  </si>
  <si>
    <t>FIAIM_6</t>
  </si>
  <si>
    <t>Neck, shoulders, hips</t>
  </si>
  <si>
    <t>FIAIM_7</t>
  </si>
  <si>
    <t>Severity of abnormal movements overall</t>
  </si>
  <si>
    <t>FIAIM_8</t>
  </si>
  <si>
    <t>Incapacitation due to abnormal movements</t>
  </si>
  <si>
    <t>FIAIM_9</t>
  </si>
  <si>
    <t>Patient's awareness of abnormal movements</t>
  </si>
  <si>
    <t>FIAIM_10</t>
  </si>
  <si>
    <t>No awareness</t>
  </si>
  <si>
    <t>Aware, no distress</t>
  </si>
  <si>
    <t>Aware, mild distress</t>
  </si>
  <si>
    <t>Aware, moderate distress</t>
  </si>
  <si>
    <t>Aware, severe distress</t>
  </si>
  <si>
    <t>Current problems with teeth and/or dentures</t>
  </si>
  <si>
    <t>FIAIM_11</t>
  </si>
  <si>
    <t>No</t>
  </si>
  <si>
    <t>Yes</t>
  </si>
  <si>
    <t>Are dentures usually worn?</t>
  </si>
  <si>
    <t>FIAIM_12</t>
  </si>
  <si>
    <t>Edentia</t>
  </si>
  <si>
    <t>FIAIM_13</t>
  </si>
  <si>
    <t>BAS</t>
  </si>
  <si>
    <t>Subjective - Awareness of Restlessness</t>
  </si>
  <si>
    <t>FIBAS_2</t>
  </si>
  <si>
    <t>Absence of inner restlessness</t>
  </si>
  <si>
    <t>Non-specific sense of inner restlessness</t>
  </si>
  <si>
    <t>Patient is aware of an inability to keep legs still</t>
  </si>
  <si>
    <t>Awareness of an intense compulsion to move</t>
  </si>
  <si>
    <t>Objective</t>
  </si>
  <si>
    <t>FIBAS_1</t>
  </si>
  <si>
    <t>Normal</t>
  </si>
  <si>
    <t>Presence of characteristic restless movements</t>
  </si>
  <si>
    <t>Observed phenomena</t>
  </si>
  <si>
    <t>Constantly engaged in characteristic restless movements</t>
  </si>
  <si>
    <t>Subjective - Distress Related to Restlessness</t>
  </si>
  <si>
    <t>FIBAS_3</t>
  </si>
  <si>
    <t>No distress</t>
  </si>
  <si>
    <t>GLOBAL CLINICAL ASSESSMENT OF AKATHISIA</t>
  </si>
  <si>
    <t>FIBAS_4</t>
  </si>
  <si>
    <t>Absent</t>
  </si>
  <si>
    <t>Questionable</t>
  </si>
  <si>
    <t>Mild akathesia</t>
  </si>
  <si>
    <t>Moderate akathesia</t>
  </si>
  <si>
    <t>Marked akathesia</t>
  </si>
  <si>
    <t>Severe akathesia</t>
  </si>
  <si>
    <t>Calgary</t>
  </si>
  <si>
    <t>FICAL_1</t>
  </si>
  <si>
    <t>Hopelessness</t>
  </si>
  <si>
    <t>FICAL_2</t>
  </si>
  <si>
    <t>Self Depreciation</t>
  </si>
  <si>
    <t>FICAL_3</t>
  </si>
  <si>
    <t>Guilty ideas of reference</t>
  </si>
  <si>
    <t>FICAL_4</t>
  </si>
  <si>
    <t>Pathological guilt</t>
  </si>
  <si>
    <t>FICAL_5</t>
  </si>
  <si>
    <t>Morning depression</t>
  </si>
  <si>
    <t>FICAL_6</t>
  </si>
  <si>
    <t>Early wakening</t>
  </si>
  <si>
    <t>FICAL_7</t>
  </si>
  <si>
    <t>Suicide</t>
  </si>
  <si>
    <t>FICAL_8</t>
  </si>
  <si>
    <t>Observed depression</t>
  </si>
  <si>
    <t>FICAL_9</t>
  </si>
  <si>
    <t>CGI</t>
  </si>
  <si>
    <t>Considering your total experience with this patient population, how mentally ill is the patient at this time?</t>
  </si>
  <si>
    <t>CGSS_01</t>
  </si>
  <si>
    <t>Normal, not at all.</t>
  </si>
  <si>
    <t>Borderline mentally ill.</t>
  </si>
  <si>
    <t>Mildly ill.</t>
  </si>
  <si>
    <t>Moderately ill.</t>
  </si>
  <si>
    <t>Markedly ill.</t>
  </si>
  <si>
    <t>Severely ill.</t>
  </si>
  <si>
    <t>Among the most extremely ill patients.</t>
  </si>
  <si>
    <t>Cannot be assessed</t>
  </si>
  <si>
    <t>Compared to his condition at baseline, how much has he changed?</t>
  </si>
  <si>
    <t>CGSS_02</t>
  </si>
  <si>
    <t>Very much improved.</t>
  </si>
  <si>
    <t>Much improved.</t>
  </si>
  <si>
    <t>Minimally improved.</t>
  </si>
  <si>
    <t>No change.</t>
  </si>
  <si>
    <t>Minimally worse.</t>
  </si>
  <si>
    <t>Much worse.</t>
  </si>
  <si>
    <t>Very much worse.</t>
  </si>
  <si>
    <t>Cannot be assessed (use rating at baseline)</t>
  </si>
  <si>
    <t>Cobre_Neuropsych_V2</t>
  </si>
  <si>
    <t>Age</t>
  </si>
  <si>
    <t>CNP_01</t>
  </si>
  <si>
    <t>Gender</t>
  </si>
  <si>
    <t>CNP_02</t>
  </si>
  <si>
    <t>CNP_03</t>
  </si>
  <si>
    <t>Caucasian</t>
  </si>
  <si>
    <t>African-American</t>
  </si>
  <si>
    <t>Hispanic</t>
  </si>
  <si>
    <t>CNP_04</t>
  </si>
  <si>
    <t>CNP_05</t>
  </si>
  <si>
    <t>CNP_06</t>
  </si>
  <si>
    <t>CNP_07</t>
  </si>
  <si>
    <t>CNP_08</t>
  </si>
  <si>
    <t>CNP_09</t>
  </si>
  <si>
    <t>CNP_10</t>
  </si>
  <si>
    <t>CNP_11</t>
  </si>
  <si>
    <t>CNP_12</t>
  </si>
  <si>
    <t>CNP_13</t>
  </si>
  <si>
    <t>CNP_14</t>
  </si>
  <si>
    <t>CNP_15</t>
  </si>
  <si>
    <t>CNP_16</t>
  </si>
  <si>
    <t>CNP_17</t>
  </si>
  <si>
    <t>CNP_18</t>
  </si>
  <si>
    <t>CNP_19</t>
  </si>
  <si>
    <t>CNP_20</t>
  </si>
  <si>
    <t>CNP_21</t>
  </si>
  <si>
    <t>CNP_22</t>
  </si>
  <si>
    <t>CNP_23</t>
  </si>
  <si>
    <t>CNP_24</t>
  </si>
  <si>
    <t>CNP_25</t>
  </si>
  <si>
    <t>CNP_26</t>
  </si>
  <si>
    <t>CNP_27</t>
  </si>
  <si>
    <t>CNP_28</t>
  </si>
  <si>
    <t>CNP_29</t>
  </si>
  <si>
    <t>CNP_30</t>
  </si>
  <si>
    <t>CNP_31</t>
  </si>
  <si>
    <t>CNP_32</t>
  </si>
  <si>
    <t>CNP_33</t>
  </si>
  <si>
    <t>CNP_34</t>
  </si>
  <si>
    <t>CNP_35</t>
  </si>
  <si>
    <t>CNP_36</t>
  </si>
  <si>
    <t>CNP_37</t>
  </si>
  <si>
    <t>CNP_38</t>
  </si>
  <si>
    <t>CNP_39</t>
  </si>
  <si>
    <t>CNP_40</t>
  </si>
  <si>
    <t>CNP_41</t>
  </si>
  <si>
    <t>CNP_42</t>
  </si>
  <si>
    <t>CNP_43</t>
  </si>
  <si>
    <t>CNP_44</t>
  </si>
  <si>
    <t>CNP_45</t>
  </si>
  <si>
    <t>CNP_46</t>
  </si>
  <si>
    <t>CNP_47</t>
  </si>
  <si>
    <t>CNP_48</t>
  </si>
  <si>
    <t>CNP_49</t>
  </si>
  <si>
    <t>CNP_50</t>
  </si>
  <si>
    <t>CNP_51</t>
  </si>
  <si>
    <t>CNP_52</t>
  </si>
  <si>
    <t>CNP_53</t>
  </si>
  <si>
    <t>CNP_54</t>
  </si>
  <si>
    <t>CNP_55</t>
  </si>
  <si>
    <t>CNP_56</t>
  </si>
  <si>
    <t>CNP_57</t>
  </si>
  <si>
    <t>CNP_58</t>
  </si>
  <si>
    <t>CNP_59</t>
  </si>
  <si>
    <t>CNP_60</t>
  </si>
  <si>
    <t>CNP_61</t>
  </si>
  <si>
    <t>CNP_62</t>
  </si>
  <si>
    <t>CNP_63</t>
  </si>
  <si>
    <t>CNP_64</t>
  </si>
  <si>
    <t>CNP_65</t>
  </si>
  <si>
    <t>CNP_66</t>
  </si>
  <si>
    <t>CNP_67</t>
  </si>
  <si>
    <t>CNP_68</t>
  </si>
  <si>
    <t>CNP_69</t>
  </si>
  <si>
    <t>CNP_70</t>
  </si>
  <si>
    <t>CNP_71</t>
  </si>
  <si>
    <t>CNP_72</t>
  </si>
  <si>
    <t>CNP_73</t>
  </si>
  <si>
    <t>CNP_74</t>
  </si>
  <si>
    <t>CNP_75</t>
  </si>
  <si>
    <t>CNP_76</t>
  </si>
  <si>
    <t>CNP_77</t>
  </si>
  <si>
    <t>CNP_78</t>
  </si>
  <si>
    <t>CNP_79</t>
  </si>
  <si>
    <t>CNP_80</t>
  </si>
  <si>
    <t>CNP_81</t>
  </si>
  <si>
    <t>CNP_82</t>
  </si>
  <si>
    <t>CNP_83</t>
  </si>
  <si>
    <t>CNP_84</t>
  </si>
  <si>
    <t>CNP_85</t>
  </si>
  <si>
    <t>CNP_86</t>
  </si>
  <si>
    <t>CNP_87</t>
  </si>
  <si>
    <t>CNP_88</t>
  </si>
  <si>
    <t>CNP_89</t>
  </si>
  <si>
    <t>CNP_90</t>
  </si>
  <si>
    <t>CNP_91</t>
  </si>
  <si>
    <t>CNP_92</t>
  </si>
  <si>
    <t>CNP_93</t>
  </si>
  <si>
    <t>CNP_94</t>
  </si>
  <si>
    <t>CNP_95</t>
  </si>
  <si>
    <t>CNP_96</t>
  </si>
  <si>
    <t>CNP_97</t>
  </si>
  <si>
    <t>CNP_98</t>
  </si>
  <si>
    <t>CNP_99</t>
  </si>
  <si>
    <t>CNP_100</t>
  </si>
  <si>
    <t>CNP_101</t>
  </si>
  <si>
    <t>CNP_102</t>
  </si>
  <si>
    <t>CNP_103</t>
  </si>
  <si>
    <t>CNP_104</t>
  </si>
  <si>
    <t>CNP_105</t>
  </si>
  <si>
    <t>Incorrect</t>
  </si>
  <si>
    <t>Correct</t>
  </si>
  <si>
    <t>Debriefing Form</t>
  </si>
  <si>
    <t>I had trouble remembering the rules of the tasks.</t>
  </si>
  <si>
    <t>CODTA_1</t>
  </si>
  <si>
    <t>Not True</t>
  </si>
  <si>
    <t>Little or Rarely True</t>
  </si>
  <si>
    <t>Somewhat o sometimes True</t>
  </si>
  <si>
    <t>Very of Often True</t>
  </si>
  <si>
    <t>I got confused about which buttons to press.</t>
  </si>
  <si>
    <t>CODTA_2</t>
  </si>
  <si>
    <t>I had trouble seeing the screen.</t>
  </si>
  <si>
    <t>CODTA_3</t>
  </si>
  <si>
    <t>The tasks were too fast.</t>
  </si>
  <si>
    <t>CODTA_4</t>
  </si>
  <si>
    <t>I performed as well as I could on the tasks.</t>
  </si>
  <si>
    <t>CODTA_5</t>
  </si>
  <si>
    <t>I was physically comfortable while performing the tasks.</t>
  </si>
  <si>
    <t>CODTA_6</t>
  </si>
  <si>
    <t>I understood the instructions to the task when they were explained to me.</t>
  </si>
  <si>
    <t>CODTA_7</t>
  </si>
  <si>
    <t>I had trouble remembering or following the rules of the tasks.</t>
  </si>
  <si>
    <t>CODTA_8</t>
  </si>
  <si>
    <t>I had trouble concentrating during the task If so, please explain why.</t>
  </si>
  <si>
    <t>CODTA_9</t>
  </si>
  <si>
    <t>I could hear the sounds clearly over the scanner noise.</t>
  </si>
  <si>
    <t>CODTA_10</t>
  </si>
  <si>
    <t>I was able to see the entire screen.</t>
  </si>
  <si>
    <t>CODTA_11</t>
  </si>
  <si>
    <t>The projection screen was very bright.</t>
  </si>
  <si>
    <t>CODTA_12</t>
  </si>
  <si>
    <t>The screen was so bright that I had to close my eyes.</t>
  </si>
  <si>
    <t>CODTA_13</t>
  </si>
  <si>
    <t>I was nervous.</t>
  </si>
  <si>
    <t>CODSE_1</t>
  </si>
  <si>
    <t>I got bored.</t>
  </si>
  <si>
    <t>CODSE_2</t>
  </si>
  <si>
    <t>I heard voices during the scan.</t>
  </si>
  <si>
    <t>CODSE_3</t>
  </si>
  <si>
    <t>I almost fell asleep.</t>
  </si>
  <si>
    <t>CODSE_4</t>
  </si>
  <si>
    <t>I got nervous.</t>
  </si>
  <si>
    <t>CODSE_5</t>
  </si>
  <si>
    <t>I got angry.</t>
  </si>
  <si>
    <t>CODSE_6</t>
  </si>
  <si>
    <t>I got depressed.</t>
  </si>
  <si>
    <t>CODSE_7</t>
  </si>
  <si>
    <t>I had trouble laying still.</t>
  </si>
  <si>
    <t>CODSE_8</t>
  </si>
  <si>
    <t>I felt fidgety.</t>
  </si>
  <si>
    <t>CODSE_9</t>
  </si>
  <si>
    <t>I had trouble pushing the buttons.</t>
  </si>
  <si>
    <t>CODSE_10</t>
  </si>
  <si>
    <t>My neck hurt.</t>
  </si>
  <si>
    <t>CODSE_11</t>
  </si>
  <si>
    <t>My back hurt.</t>
  </si>
  <si>
    <t>CODSE_12</t>
  </si>
  <si>
    <t>My ears hurt.</t>
  </si>
  <si>
    <t>CODSE_13</t>
  </si>
  <si>
    <t>My head hurt.</t>
  </si>
  <si>
    <t>CODSE_14</t>
  </si>
  <si>
    <t>I was too cold.</t>
  </si>
  <si>
    <t>CODSE_15</t>
  </si>
  <si>
    <t>I was too hot.</t>
  </si>
  <si>
    <t>CODSE_16</t>
  </si>
  <si>
    <t>I wanted to play the tasks longer.</t>
  </si>
  <si>
    <t>CODSE_17</t>
  </si>
  <si>
    <t>The tasks made me feel tired.</t>
  </si>
  <si>
    <t>CODSE_18</t>
  </si>
  <si>
    <t>Was the head restraint comfortable?</t>
  </si>
  <si>
    <t>CODSE_19</t>
  </si>
  <si>
    <t>Did you have any other problems or do you have any other comments about any part of the experiment?</t>
  </si>
  <si>
    <t>CODSE_20</t>
  </si>
  <si>
    <t>Demographics</t>
  </si>
  <si>
    <t>CODEM_2</t>
  </si>
  <si>
    <t>CODEM_3</t>
  </si>
  <si>
    <t>Hispanic or Latino</t>
  </si>
  <si>
    <t>Not Hispanic or Latino</t>
  </si>
  <si>
    <t>Race</t>
  </si>
  <si>
    <t>CODEM_3A</t>
  </si>
  <si>
    <t>American Indian or Alaska Native</t>
  </si>
  <si>
    <t>Asian</t>
  </si>
  <si>
    <t>Black or African American</t>
  </si>
  <si>
    <t>Native Hawaiian or Other Pacific Islander</t>
  </si>
  <si>
    <t>White</t>
  </si>
  <si>
    <t>Marital Status</t>
  </si>
  <si>
    <t>CODEM_4</t>
  </si>
  <si>
    <t>married or living with someone as if married</t>
  </si>
  <si>
    <t>divorced or annulled</t>
  </si>
  <si>
    <t>never married</t>
  </si>
  <si>
    <t>widowed</t>
  </si>
  <si>
    <t>separated</t>
  </si>
  <si>
    <t>Your highest level of Education</t>
  </si>
  <si>
    <t>CODEM_5</t>
  </si>
  <si>
    <t>grade 6 or less</t>
  </si>
  <si>
    <t>grade 7 - 12 (without graduating high school)</t>
  </si>
  <si>
    <t>graduated high school or high school equivalent</t>
  </si>
  <si>
    <t>part college</t>
  </si>
  <si>
    <t>graduated 2 yr college</t>
  </si>
  <si>
    <t>graduated 4 yr college</t>
  </si>
  <si>
    <t>part graduate/professional school</t>
  </si>
  <si>
    <t>completed graduate/professional school</t>
  </si>
  <si>
    <t>Highest Level of Education for Primary Caretaker until 18 years old</t>
  </si>
  <si>
    <t>CODEM_6</t>
  </si>
  <si>
    <t>Highest Level of Education for Secondary Caretaker until subject was 18 years old</t>
  </si>
  <si>
    <t>CODEM_7</t>
  </si>
  <si>
    <t>Your highest level of Occupation</t>
  </si>
  <si>
    <t>CODEM_8</t>
  </si>
  <si>
    <t>higher executives, proprietors of large concerns, and major professionals</t>
  </si>
  <si>
    <t>business managers, proprietors of medium-sized business, and lesser professionals</t>
  </si>
  <si>
    <t>administrative personnel, small independent businesses, and minor professionals</t>
  </si>
  <si>
    <t>clerical and sales workers, technicians, owners of small businesses and minor professionals</t>
  </si>
  <si>
    <t>skilled manual employees</t>
  </si>
  <si>
    <t>machine operators and semi-skilled employees</t>
  </si>
  <si>
    <t>unskilled employees</t>
  </si>
  <si>
    <t>Highest  Level of Occupation for Primary Caretaker</t>
  </si>
  <si>
    <t>Please enter a number from 1 to 7</t>
  </si>
  <si>
    <t>CODEM_9</t>
  </si>
  <si>
    <t>Highest Level of Occupation for Secondary Caretaker</t>
  </si>
  <si>
    <t>CODEM_9A</t>
  </si>
  <si>
    <t>Handedness</t>
  </si>
  <si>
    <t>CODEM_10</t>
  </si>
  <si>
    <t>Head Injury History</t>
  </si>
  <si>
    <t>CODEM_11</t>
  </si>
  <si>
    <t>yes</t>
  </si>
  <si>
    <t>no</t>
  </si>
  <si>
    <t>If yes, the date</t>
  </si>
  <si>
    <t>Date (MM/DD/YYYY)</t>
  </si>
  <si>
    <t>CODEM_12</t>
  </si>
  <si>
    <t>If yes, the Loss of Concientious Time</t>
  </si>
  <si>
    <t>In Minutes (Convert to Minutes)</t>
  </si>
  <si>
    <t>CODEM_13</t>
  </si>
  <si>
    <t>First degree relative with psychosis</t>
  </si>
  <si>
    <t>CODEM_14</t>
  </si>
  <si>
    <t>If yes, what is the likely diagnosis</t>
  </si>
  <si>
    <t>Enter the likely diagnosis</t>
  </si>
  <si>
    <t>CODEM_15</t>
  </si>
  <si>
    <t>In Years</t>
  </si>
  <si>
    <t>Total</t>
  </si>
  <si>
    <t>(months)</t>
  </si>
  <si>
    <t>(if less than one month, record 1 week as .25, 2 weeks as .50) (months)</t>
  </si>
  <si>
    <t>Fagerstrom COBRE</t>
  </si>
  <si>
    <t>COFAGE_0</t>
  </si>
  <si>
    <t>How soon after you wake up do you smoke you first cigarette?</t>
  </si>
  <si>
    <t>COFAGE_1</t>
  </si>
  <si>
    <t>Within 5 minutes</t>
  </si>
  <si>
    <t>6-30 minutes</t>
  </si>
  <si>
    <t>31-60 minutes</t>
  </si>
  <si>
    <t>After 60 minutes</t>
  </si>
  <si>
    <t>Do you find it difficlut to refrain from smoking in places where it is forbidden; e.g., church, at the library, in the cinema, etc?</t>
  </si>
  <si>
    <t>COFAGE_2</t>
  </si>
  <si>
    <t>Which cigarette would you hate to give up most?</t>
  </si>
  <si>
    <t>COFAGE_3</t>
  </si>
  <si>
    <t>The first one in the morning</t>
  </si>
  <si>
    <t>All others</t>
  </si>
  <si>
    <t>How many cigarettes/day do you smoke?</t>
  </si>
  <si>
    <t>COFAGE_4</t>
  </si>
  <si>
    <t>10 or less</t>
  </si>
  <si>
    <t>21-30</t>
  </si>
  <si>
    <t>31 or more</t>
  </si>
  <si>
    <t>Do you smoke more frequently during the first hours of waking than during the rest of the day?</t>
  </si>
  <si>
    <t>COFAGE_5</t>
  </si>
  <si>
    <t>Do you smoke if you are so ill that you are in bed most of the day?</t>
  </si>
  <si>
    <t>COFAGE_6</t>
  </si>
  <si>
    <t>Score</t>
  </si>
  <si>
    <t>COFAGE_8</t>
  </si>
  <si>
    <t>0-2 Very Low Dependency</t>
  </si>
  <si>
    <t>3-4 Low Dependency</t>
  </si>
  <si>
    <t>5 Medium Dependency</t>
  </si>
  <si>
    <t>6-7 High Dependency</t>
  </si>
  <si>
    <t>8-10 Very High Dependency</t>
  </si>
  <si>
    <t>Medical History</t>
  </si>
  <si>
    <t>Allergies -- Drugs</t>
  </si>
  <si>
    <t>MHIST_1</t>
  </si>
  <si>
    <t>No History</t>
  </si>
  <si>
    <t>Not Evaluated</t>
  </si>
  <si>
    <t>Allergies-- Other</t>
  </si>
  <si>
    <t>MHIST_2</t>
  </si>
  <si>
    <t>HEENT Disorder</t>
  </si>
  <si>
    <t>MHIST_3</t>
  </si>
  <si>
    <t>Cardiac arrhythmia</t>
  </si>
  <si>
    <t>MHIST_4</t>
  </si>
  <si>
    <t>History of MI</t>
  </si>
  <si>
    <t>MHIST_5</t>
  </si>
  <si>
    <t>Angina</t>
  </si>
  <si>
    <t>MHIST_6</t>
  </si>
  <si>
    <t>Congestive heart failure</t>
  </si>
  <si>
    <t>MHIST_7</t>
  </si>
  <si>
    <t>Other cardiac</t>
  </si>
  <si>
    <t>MHIST_8</t>
  </si>
  <si>
    <t>History of stroke</t>
  </si>
  <si>
    <t>MHIST_9</t>
  </si>
  <si>
    <t>Hypertension</t>
  </si>
  <si>
    <t>MHIST_10</t>
  </si>
  <si>
    <t>Stent/CABG</t>
  </si>
  <si>
    <t>MHIST_11</t>
  </si>
  <si>
    <t>Renal Disorder</t>
  </si>
  <si>
    <t>MHIST_12</t>
  </si>
  <si>
    <t>Hepatic Disorder</t>
  </si>
  <si>
    <t>MHIST_13</t>
  </si>
  <si>
    <t>Pulmonary Disorder</t>
  </si>
  <si>
    <t>MHIST_14</t>
  </si>
  <si>
    <t>Gastrointestinal Disorder</t>
  </si>
  <si>
    <t>MHIST_15</t>
  </si>
  <si>
    <t>Musculoskeletal Disorder</t>
  </si>
  <si>
    <t>MHIST_16</t>
  </si>
  <si>
    <t>Neurologic Disorder</t>
  </si>
  <si>
    <t>MHIST_17</t>
  </si>
  <si>
    <t>Dermatologic Disorder</t>
  </si>
  <si>
    <t>MHIST_18</t>
  </si>
  <si>
    <t>Hyperlipidemia/hypertriglyceridemia</t>
  </si>
  <si>
    <t>MHIST_19</t>
  </si>
  <si>
    <t>Hematologic Disorder</t>
  </si>
  <si>
    <t>MHIST_20</t>
  </si>
  <si>
    <t>Diabetes mellitus</t>
  </si>
  <si>
    <t>MHIST_21</t>
  </si>
  <si>
    <t>Other endocrine disorder</t>
  </si>
  <si>
    <t>MHIST_22</t>
  </si>
  <si>
    <t>Genitourinary Disorder</t>
  </si>
  <si>
    <t>MHIST_23</t>
  </si>
  <si>
    <t>Infectious Disease</t>
  </si>
  <si>
    <t>MHIST_24</t>
  </si>
  <si>
    <t>Other (#1)</t>
  </si>
  <si>
    <t>MHIST_25</t>
  </si>
  <si>
    <t>Specify Other (#1):</t>
  </si>
  <si>
    <t>MHIST_26</t>
  </si>
  <si>
    <t>Other (#2)</t>
  </si>
  <si>
    <t>MHIST_27</t>
  </si>
  <si>
    <t>Specify Other (#2)</t>
  </si>
  <si>
    <t>MHIST_28</t>
  </si>
  <si>
    <t>Medication Log</t>
  </si>
  <si>
    <t>COMED_2</t>
  </si>
  <si>
    <t>COMED_2A</t>
  </si>
  <si>
    <t>COMED_3</t>
  </si>
  <si>
    <t>COMED_3A</t>
  </si>
  <si>
    <t>Daily</t>
  </si>
  <si>
    <t>BID</t>
  </si>
  <si>
    <t>TID</t>
  </si>
  <si>
    <t>QDAY</t>
  </si>
  <si>
    <t>once per week</t>
  </si>
  <si>
    <t>once every 2 weeks</t>
  </si>
  <si>
    <t>once every 3 weeks</t>
  </si>
  <si>
    <t>once every 4 weeks</t>
  </si>
  <si>
    <t>once every 5 weeks</t>
  </si>
  <si>
    <t>once every 6 weeks</t>
  </si>
  <si>
    <t>MM/DD/YYYY</t>
  </si>
  <si>
    <t>COMED_3B</t>
  </si>
  <si>
    <t>NOTES</t>
  </si>
  <si>
    <t>COMED_5</t>
  </si>
  <si>
    <t>The auto-calculated equivalent dosage of Olanzapine:</t>
  </si>
  <si>
    <t>COMED_6</t>
  </si>
  <si>
    <t>The auto-calculated equivalent dosage of CPZ:</t>
  </si>
  <si>
    <t>COMED_8</t>
  </si>
  <si>
    <t>The auto-calculated sum of all Olazapine Equivelant Doses taken by the participant.</t>
  </si>
  <si>
    <t>COMED_7</t>
  </si>
  <si>
    <t>The auto-calculated sum of all CPZ Equivelant Doses taken by the participant.</t>
  </si>
  <si>
    <t>COMED_9</t>
  </si>
  <si>
    <t>Neurological Exam</t>
  </si>
  <si>
    <t>Medication at time of Interview</t>
  </si>
  <si>
    <t>NE1</t>
  </si>
  <si>
    <t>No Medication</t>
  </si>
  <si>
    <t>Medication</t>
  </si>
  <si>
    <t>Olfaction</t>
  </si>
  <si>
    <t>NE2</t>
  </si>
  <si>
    <t>Abnormal</t>
  </si>
  <si>
    <t>Visual Acuity</t>
  </si>
  <si>
    <t>NE3</t>
  </si>
  <si>
    <t>Fundoscopic Exam</t>
  </si>
  <si>
    <t>NE4</t>
  </si>
  <si>
    <t>Visual Fields</t>
  </si>
  <si>
    <t>NE5</t>
  </si>
  <si>
    <t>Abducens</t>
  </si>
  <si>
    <t>NE6</t>
  </si>
  <si>
    <t>Extraocular Muscle Movements</t>
  </si>
  <si>
    <t>NE7</t>
  </si>
  <si>
    <t>Pupillary Reaction</t>
  </si>
  <si>
    <t>NE8</t>
  </si>
  <si>
    <t>Facial Sensation</t>
  </si>
  <si>
    <t>NE9</t>
  </si>
  <si>
    <t>Corneal Reflex</t>
  </si>
  <si>
    <t>NE10</t>
  </si>
  <si>
    <t>Muscles of Mastication</t>
  </si>
  <si>
    <t>NE11</t>
  </si>
  <si>
    <t>Symmetry/Strength of Facial Movements</t>
  </si>
  <si>
    <t>NE12</t>
  </si>
  <si>
    <t>Gag Reflex</t>
  </si>
  <si>
    <t>NE13</t>
  </si>
  <si>
    <t>Articulation</t>
  </si>
  <si>
    <t>NE14</t>
  </si>
  <si>
    <t>Elevation of Soft Palate</t>
  </si>
  <si>
    <t>NE15</t>
  </si>
  <si>
    <t>Sternocleidomastoid Strength</t>
  </si>
  <si>
    <t>NE16</t>
  </si>
  <si>
    <t>Tongue Protrusion</t>
  </si>
  <si>
    <t>NE17</t>
  </si>
  <si>
    <t>Atrophy/Fasciculations</t>
  </si>
  <si>
    <t>NE18</t>
  </si>
  <si>
    <t>Present</t>
  </si>
  <si>
    <t>Steppage Gait</t>
  </si>
  <si>
    <t>NE19</t>
  </si>
  <si>
    <t>Cerebellar Gait</t>
  </si>
  <si>
    <t>NE20</t>
  </si>
  <si>
    <t>Spastic Gait</t>
  </si>
  <si>
    <t>NE21</t>
  </si>
  <si>
    <t>Festination</t>
  </si>
  <si>
    <t>NE22</t>
  </si>
  <si>
    <t>Apraxic Gait</t>
  </si>
  <si>
    <t>NE23</t>
  </si>
  <si>
    <t>Rhomberg Sign: Eyes Open</t>
  </si>
  <si>
    <t>NE24</t>
  </si>
  <si>
    <t>Rhomberg Sign: Eyes Closed</t>
  </si>
  <si>
    <t>NE25</t>
  </si>
  <si>
    <t>Muscle bulk: Atrophy</t>
  </si>
  <si>
    <t>NE26</t>
  </si>
  <si>
    <t>Muscle Bulk: Fasciculation</t>
  </si>
  <si>
    <t>NE27</t>
  </si>
  <si>
    <t>Muscle tone: Spasticity</t>
  </si>
  <si>
    <t>NE28</t>
  </si>
  <si>
    <t>Muscle tone: Rigidity</t>
  </si>
  <si>
    <t>NE29</t>
  </si>
  <si>
    <t>Muscle tone: Flaccidity</t>
  </si>
  <si>
    <t>NE30</t>
  </si>
  <si>
    <t>Muscle tone: Weakness</t>
  </si>
  <si>
    <t>NE31</t>
  </si>
  <si>
    <t>Involuntary Movements: Resting Tremor</t>
  </si>
  <si>
    <t>NE32</t>
  </si>
  <si>
    <t>Involuntary Movements: Intention Tremor</t>
  </si>
  <si>
    <t>NE33</t>
  </si>
  <si>
    <t>Involuntary Movements: Chorea</t>
  </si>
  <si>
    <t>NE34</t>
  </si>
  <si>
    <t>Involuntary Movements: Athetosis</t>
  </si>
  <si>
    <t>NE35</t>
  </si>
  <si>
    <t>Involuntary Movements: Dystonia</t>
  </si>
  <si>
    <t>NE36</t>
  </si>
  <si>
    <t>Tendon Reflexes</t>
  </si>
  <si>
    <t>NE37</t>
  </si>
  <si>
    <t>Biceps: Right</t>
  </si>
  <si>
    <t>NE38</t>
  </si>
  <si>
    <t>Hypoactive</t>
  </si>
  <si>
    <t>Normoactive</t>
  </si>
  <si>
    <t>Hyperactive</t>
  </si>
  <si>
    <t>Clonus</t>
  </si>
  <si>
    <t>Biceps: Left</t>
  </si>
  <si>
    <t>NE39</t>
  </si>
  <si>
    <t>Patellar: Right</t>
  </si>
  <si>
    <t>NE40</t>
  </si>
  <si>
    <t>Patellar: Left</t>
  </si>
  <si>
    <t>NE41</t>
  </si>
  <si>
    <t>Achilles: Right</t>
  </si>
  <si>
    <t>NE42</t>
  </si>
  <si>
    <t>Achilles: Left</t>
  </si>
  <si>
    <t>NE43</t>
  </si>
  <si>
    <t>Babinski Sign</t>
  </si>
  <si>
    <t>NE44</t>
  </si>
  <si>
    <t>Hoffmann's Sign</t>
  </si>
  <si>
    <t>NE45</t>
  </si>
  <si>
    <t>Finger-Nose Test</t>
  </si>
  <si>
    <t>NE46</t>
  </si>
  <si>
    <t>Rapid Alternating Pronation/Supination</t>
  </si>
  <si>
    <t>NE47</t>
  </si>
  <si>
    <t>Heel-Knee-Shin Test</t>
  </si>
  <si>
    <t>NE48</t>
  </si>
  <si>
    <t>Touch</t>
  </si>
  <si>
    <t>NE49</t>
  </si>
  <si>
    <t>Pain</t>
  </si>
  <si>
    <t>NE50</t>
  </si>
  <si>
    <t>Position</t>
  </si>
  <si>
    <t>NE51</t>
  </si>
  <si>
    <t>Graphesthesia</t>
  </si>
  <si>
    <t>NE52</t>
  </si>
  <si>
    <t>Stereognosis</t>
  </si>
  <si>
    <t>NE53</t>
  </si>
  <si>
    <t>Ocular Pursuit Movements</t>
  </si>
  <si>
    <t>NE54</t>
  </si>
  <si>
    <t>Lateral Gaze Impersistence</t>
  </si>
  <si>
    <t>NE55</t>
  </si>
  <si>
    <t>Face-Hand Test</t>
  </si>
  <si>
    <t>NE56</t>
  </si>
  <si>
    <t>Right-Left Discrimination</t>
  </si>
  <si>
    <t>NE57</t>
  </si>
  <si>
    <t>Finger Tapping Test: Incoordination (dysdiadochokinesia)</t>
  </si>
  <si>
    <t>NE58</t>
  </si>
  <si>
    <t>Finger Tapping Test: Associated Movements</t>
  </si>
  <si>
    <t>NE59</t>
  </si>
  <si>
    <t>Finger Tapping Test: Mirror Movements</t>
  </si>
  <si>
    <t>NE60</t>
  </si>
  <si>
    <t>Finger-to-Nose Test: Accuracy of Motor Response</t>
  </si>
  <si>
    <t>NE61</t>
  </si>
  <si>
    <t>Finger-to-Nose Test: Intention Tremor</t>
  </si>
  <si>
    <t>NE62</t>
  </si>
  <si>
    <t>Finger-to-Nose Test: Resting Tremor</t>
  </si>
  <si>
    <t>NE63</t>
  </si>
  <si>
    <t>Rhomberg Test: Gross Ataxia</t>
  </si>
  <si>
    <t>NE64</t>
  </si>
  <si>
    <t>Rhomberg Test: Swaying and/or Lordosis</t>
  </si>
  <si>
    <t>NE65</t>
  </si>
  <si>
    <t>Rhomberg Test: Impersistence of Eye Closure</t>
  </si>
  <si>
    <t>NE66</t>
  </si>
  <si>
    <t>Rhomberg Test: Involuntary Movements: Facial and/or Oral</t>
  </si>
  <si>
    <t>NE67</t>
  </si>
  <si>
    <t>Rhomberg Test: Involuntary Movements: Choreiform</t>
  </si>
  <si>
    <t>NE68</t>
  </si>
  <si>
    <t>Rhomberg Test: Involuntary Movements: Athetoid</t>
  </si>
  <si>
    <t>NE69</t>
  </si>
  <si>
    <t>Rhomberg Test: Involuntary Movements: Lower Extremity</t>
  </si>
  <si>
    <t>NE70</t>
  </si>
  <si>
    <t>Tandem Gait Test: Gross Ataxia</t>
  </si>
  <si>
    <t>NE71</t>
  </si>
  <si>
    <t>Tandem Gait Test: Loss of Balance and/or Broadening of Stance</t>
  </si>
  <si>
    <t>NE72</t>
  </si>
  <si>
    <t>Total Number of Abnormal Soft Signs</t>
  </si>
  <si>
    <t>NE73</t>
  </si>
  <si>
    <t>Snout Reflex</t>
  </si>
  <si>
    <t>NE74</t>
  </si>
  <si>
    <t>Suck Reflex</t>
  </si>
  <si>
    <t>NE75</t>
  </si>
  <si>
    <t>Glabellar Reflex</t>
  </si>
  <si>
    <t>NE76</t>
  </si>
  <si>
    <t>Palmomental Reflex</t>
  </si>
  <si>
    <t>NE77</t>
  </si>
  <si>
    <t>Grasp Reflex</t>
  </si>
  <si>
    <t>NE78</t>
  </si>
  <si>
    <t>Hypertonia</t>
  </si>
  <si>
    <t>NE79</t>
  </si>
  <si>
    <t>Nuchocephalic Reflex</t>
  </si>
  <si>
    <t>NE80</t>
  </si>
  <si>
    <t>Total Number of Abnormal Developmental Reflexes</t>
  </si>
  <si>
    <t>NE81</t>
  </si>
  <si>
    <t>PANSS</t>
  </si>
  <si>
    <t>Beliefs which are unfounded, unrealistic, and idiosyncratic</t>
  </si>
  <si>
    <t>FIPAN_1</t>
  </si>
  <si>
    <t>Moderate severe</t>
  </si>
  <si>
    <t>Extreme</t>
  </si>
  <si>
    <t>Disorganized process of thinking characterized by disruption of goal-directed sequencing, e.g., circumstantiality, tangentiality, loose associations, non sequiturs, gross illogicality, or thought block.</t>
  </si>
  <si>
    <t>FIPAN_2</t>
  </si>
  <si>
    <t>FIPAN_3</t>
  </si>
  <si>
    <t>Hyperactivity as reflected in accelerated motor behavior, heightened responsivity to stimuli, hypervigilance, or excessive mood lability.</t>
  </si>
  <si>
    <t>FIPAN_4</t>
  </si>
  <si>
    <t>FIPAN_5</t>
  </si>
  <si>
    <t>Unrealistic or exaggerated ideas of persecution as reflected in guardedness, a distrustful attitude, suspicious hypervigilance, or frank delusions that others mean one harm.</t>
  </si>
  <si>
    <t>FIPAN_6</t>
  </si>
  <si>
    <t>Verbal and nonverbal expressions of anger and resentment, including sarcasm, 
passive-aggressive behavior, verbal abuse, and assaultiveness</t>
  </si>
  <si>
    <t>FIPAN_7</t>
  </si>
  <si>
    <t>Diminished emotional responsiveness as characterized by a reduction in facial expression, modulation of feelings, and communicative gestures.</t>
  </si>
  <si>
    <t>FIPAN_8</t>
  </si>
  <si>
    <t>Lack of interest in, involvement with, and affective commitment to lifes events.</t>
  </si>
  <si>
    <t>FIPAN_9</t>
  </si>
  <si>
    <t>Lack of interpersonal empathy, openness in conversation and sense of closeness, interest, or involvement with the interviewer. This is evidenced by interpersonal distancing and reduced verbal and nonverbal communication.</t>
  </si>
  <si>
    <t>FIPAN_10</t>
  </si>
  <si>
    <t>Diminished interest and initiative in social interactions due to passivity, apathy, energy, or avolition. This leads to reduced interpersonal involvements and neglect of activities of daily living.</t>
  </si>
  <si>
    <t>FIPAN_11</t>
  </si>
  <si>
    <t>Impairment in the use of the abstract symbolic mode of thinking, as evidenced by difficulty in classification, forming generalizations, and proceeding beyond concrete or egocentric thinking in problem-solving tasks</t>
  </si>
  <si>
    <t>FIPAN_12</t>
  </si>
  <si>
    <t>Reduction in the normal flow of communication associated with apathy, avolition, defensiveness, or cognitive deficit. This is manifested by diminished fluidity and productivity of the verbal-interactional process.</t>
  </si>
  <si>
    <t>FIPAN_13</t>
  </si>
  <si>
    <t>Decreased fluidity, spontaneity, and flexibility of thinking, as evidenced in rigid, repetitious, or barren thought content.</t>
  </si>
  <si>
    <t>FIPAN_14</t>
  </si>
  <si>
    <t>Physical complaints or beliefs about bodily illness or malfunctions. This may range from a vague sense of ill being to clear-cut delusions of catastrophic physical disease.</t>
  </si>
  <si>
    <t>FIPAN_15</t>
  </si>
  <si>
    <t>Subjective experience of nervousness, worry, apprehension, or restlessness, ranging from excessive concern about the present or future to feelings of panic.</t>
  </si>
  <si>
    <t>FIPAN_16</t>
  </si>
  <si>
    <t>Sense of remorse of self-blame for real or imagined misdeeds in the past.</t>
  </si>
  <si>
    <t>FIPAN_17</t>
  </si>
  <si>
    <t>Overt physical manifestation of fear, anxiety, and agitation, such as stiffness, tremor, profuse sweating, and restlessness.</t>
  </si>
  <si>
    <t>FIPAN_18</t>
  </si>
  <si>
    <t>Unnatural movements or posture as characterized by an awkward, stilted, disorganized, or bizarre appearance.</t>
  </si>
  <si>
    <t>FIPAN_19</t>
  </si>
  <si>
    <t>Feelings of sadness, discouragement, helplessness, and pessimism.</t>
  </si>
  <si>
    <t>FIPAN_20</t>
  </si>
  <si>
    <t>Reduction in motor activity as reflected in slowing or lessening of movements and speech, diminished responsiveness to stimuli, and reduced body tone</t>
  </si>
  <si>
    <t>FIPAN_21</t>
  </si>
  <si>
    <t>FIPAN_22</t>
  </si>
  <si>
    <t>Thinking characterized by strange, fantastic, or bizarre ideas, ranging from those which are remote or atypical to those which are distorted, illogical, and patently absurd</t>
  </si>
  <si>
    <t>FIPAN_23</t>
  </si>
  <si>
    <t>Lack of awareness of ones relationship to the milieu, including persons, place, and time, which may be due to confusion or withdrawal.</t>
  </si>
  <si>
    <t>FIPAN_24</t>
  </si>
  <si>
    <t>Failure in focused alertness manifested by poor concentration, distractibility from internal and external stimuli, and difficulty in harnessing sustaining, or shifting focus to new stimuli.</t>
  </si>
  <si>
    <t>FIPAN_25</t>
  </si>
  <si>
    <t>Impaired awareness or understanding of ones own psychiatric condition and life situation. This is evidenced by failure to recognize past or present psychiatric illness or symptoms, denial of need for psychiatric hospitalization or treatment, decisions characterized by poor anticipation of consequences, and unrealistic short-term and long-range planning.</t>
  </si>
  <si>
    <t>FIPAN_26</t>
  </si>
  <si>
    <t>Disordered regulation and control of action on inner urges, resulting in sudden, unmodulated, arbitrary, or misdirected discharge of tension and emotions without concern about consequences.</t>
  </si>
  <si>
    <t>FIPAN_27</t>
  </si>
  <si>
    <t>FIPAN_30</t>
  </si>
  <si>
    <t>Absorption with internally generated thoughts and feelings and with autistic experiences to the detriment of reality orientation and adaptive behavior.</t>
  </si>
  <si>
    <t>FIPAN_28</t>
  </si>
  <si>
    <t>FIPAN_29</t>
  </si>
  <si>
    <t>Pre-Scan Form</t>
  </si>
  <si>
    <t>How many cups of coffee (and/or other highly caffeinated drinks like Red Bull, Jolt, etc.) did you drink during the last 3 hours?</t>
  </si>
  <si>
    <t>COBPRE_1</t>
  </si>
  <si>
    <t>What is the average number of cups of coffee (and/or other highly caffeinated drinks like Red Bull, Jolt, etc.) per day for the past week?</t>
  </si>
  <si>
    <t>COBPRE_2</t>
  </si>
  <si>
    <t>How many cigarettes did you smoke during the last 8 hours?</t>
  </si>
  <si>
    <t>COBPRE_3</t>
  </si>
  <si>
    <t>How many hours (minutes) has it been since your last cigarette? (Please enter the unit, hours or minutes.)</t>
  </si>
  <si>
    <t>COBPRE_4</t>
  </si>
  <si>
    <t>How many hours did you sleep last night?</t>
  </si>
  <si>
    <t>COBPRE_5</t>
  </si>
  <si>
    <t>What is the average number of hours you slept per night during the past week?</t>
  </si>
  <si>
    <t>COBPRE_6</t>
  </si>
  <si>
    <t>Did you take any medication or any drugs during the past 24 hours?</t>
  </si>
  <si>
    <t>COBPRE_7</t>
  </si>
  <si>
    <t>QOL</t>
  </si>
  <si>
    <t>How do you feel about your life in general?</t>
  </si>
  <si>
    <t>COBQOL_1A</t>
  </si>
  <si>
    <t>terrible</t>
  </si>
  <si>
    <t>unhappy</t>
  </si>
  <si>
    <t>mostly dissatisfied</t>
  </si>
  <si>
    <t>mixed</t>
  </si>
  <si>
    <t>mostly satisfied</t>
  </si>
  <si>
    <t>pleased</t>
  </si>
  <si>
    <t>delighted</t>
  </si>
  <si>
    <t>Current Living Situation</t>
  </si>
  <si>
    <t>COBQOL_2B</t>
  </si>
  <si>
    <t>Hospital</t>
  </si>
  <si>
    <t>Skilled nursing facility: 24 hour nursing service</t>
  </si>
  <si>
    <t>Intermediate care facility: less than 24 hour nursing facility</t>
  </si>
  <si>
    <t>Supervised group living (generally long term)</t>
  </si>
  <si>
    <t>Transitional group home (halfway or quarterway house)</t>
  </si>
  <si>
    <t>Family foster care</t>
  </si>
  <si>
    <t>Cooperative apartment, supervised (staff on premises)</t>
  </si>
  <si>
    <t>Cooperative apartment, unsupervised (staff not on premise)</t>
  </si>
  <si>
    <t>Board and care home: (private proprietary home for adults, with program and supervision)</t>
  </si>
  <si>
    <t>Boarding house: (include meals, no program or supervision)</t>
  </si>
  <si>
    <t>Rooming or boarding house or hotel: (including single room occupancy, no meals are provided, cooking facilities may be available)</t>
  </si>
  <si>
    <t>Private house or apartment</t>
  </si>
  <si>
    <t>Shelter</t>
  </si>
  <si>
    <t>Jail</t>
  </si>
  <si>
    <t>No current residence (including the streets, bus stations, missions, etc.)</t>
  </si>
  <si>
    <t>Other</t>
  </si>
  <si>
    <t>Doesn't know</t>
  </si>
  <si>
    <t>Not applicable</t>
  </si>
  <si>
    <t>No information</t>
  </si>
  <si>
    <t>Residence during the past 6 months</t>
  </si>
  <si>
    <t>COBQOL_3B</t>
  </si>
  <si>
    <t>How do you feel about the living arrangement where you live?</t>
  </si>
  <si>
    <t>COBQOL_417B</t>
  </si>
  <si>
    <t>How do you feel about the privacy you have there?</t>
  </si>
  <si>
    <t>COBQOL_418B</t>
  </si>
  <si>
    <t>How do you feel about The prospect of staying on where you currently live for a long period of time?</t>
  </si>
  <si>
    <t>COBQOL_419B</t>
  </si>
  <si>
    <t>Go for a walk?</t>
  </si>
  <si>
    <t>COBQOL_120C</t>
  </si>
  <si>
    <t>NO</t>
  </si>
  <si>
    <t>YES</t>
  </si>
  <si>
    <t>MISS</t>
  </si>
  <si>
    <t>Go shopping?</t>
  </si>
  <si>
    <t>COBQOL_121C</t>
  </si>
  <si>
    <t>Go to a restaurant or coffee shop?</t>
  </si>
  <si>
    <t>COBQOL_122C</t>
  </si>
  <si>
    <t>Read a book, magazine, or newspaper?</t>
  </si>
  <si>
    <t>COBQOL_123C</t>
  </si>
  <si>
    <t>Go for a ride in a bus or car?</t>
  </si>
  <si>
    <t>COBQOL_124C</t>
  </si>
  <si>
    <t>Work on a hobby?</t>
  </si>
  <si>
    <t>COBQOL_125C</t>
  </si>
  <si>
    <t>Play a sport</t>
  </si>
  <si>
    <t>COBQOL_126C</t>
  </si>
  <si>
    <t>Go to a park</t>
  </si>
  <si>
    <t>COBQOL_127C</t>
  </si>
  <si>
    <t>Overall, how would you rate your functioning in home, social, school, and work settings at the present time?</t>
  </si>
  <si>
    <t>COBQOL_2C</t>
  </si>
  <si>
    <t>Excellent</t>
  </si>
  <si>
    <t>Good</t>
  </si>
  <si>
    <t>Fair</t>
  </si>
  <si>
    <t>Poor</t>
  </si>
  <si>
    <t>Missing</t>
  </si>
  <si>
    <t>How do you feel about: The way you spend your spare time?</t>
  </si>
  <si>
    <t>COBQOL_329C</t>
  </si>
  <si>
    <t>How do you feel about:  The chance you have to enjoy pleasant or beautiful things?</t>
  </si>
  <si>
    <t>COBQOL_330C</t>
  </si>
  <si>
    <t>How do you feel about: The amount of fun you have?</t>
  </si>
  <si>
    <t>COBQOL_331C</t>
  </si>
  <si>
    <t>How do you feel about the amount of relaxation in your life?</t>
  </si>
  <si>
    <t>COBQOL_332D</t>
  </si>
  <si>
    <t>In the past 6 months, how often did you talk to a member of your family on the telephone?</t>
  </si>
  <si>
    <t>COBQOL_1D</t>
  </si>
  <si>
    <t>at least once a day</t>
  </si>
  <si>
    <t>at least once a week</t>
  </si>
  <si>
    <t>at least once a month</t>
  </si>
  <si>
    <t>less than once a month</t>
  </si>
  <si>
    <t>not at all</t>
  </si>
  <si>
    <t>no family</t>
  </si>
  <si>
    <t>doesn't know</t>
  </si>
  <si>
    <t>not applicable</t>
  </si>
  <si>
    <t>missing</t>
  </si>
  <si>
    <t>In the past 6 months, how often did you get together with a member of your family?</t>
  </si>
  <si>
    <t>COBQOL_2D</t>
  </si>
  <si>
    <t>How do you feel about: The way you and your family act toward each other?</t>
  </si>
  <si>
    <t>COBQOL_335D</t>
  </si>
  <si>
    <t>How do you feel about The way things are in general between you and your family?</t>
  </si>
  <si>
    <t>COBQOL_336D</t>
  </si>
  <si>
    <t>How do you feel about the way things are with your spouse/partner if you have one?</t>
  </si>
  <si>
    <t>COBQOL_337D</t>
  </si>
  <si>
    <t>Visit with someone who does not live with you?</t>
  </si>
  <si>
    <t>COBQOL_138E</t>
  </si>
  <si>
    <t>Telephone some who does not live with you?</t>
  </si>
  <si>
    <t>COBQOL_139E</t>
  </si>
  <si>
    <t>Do something with another person that you planned ahead of time?</t>
  </si>
  <si>
    <t>COBQOL_140E</t>
  </si>
  <si>
    <t>About how often do you spend time with someone you consider more than a friend, like a spouse, a boyfriend or a girlfriend?</t>
  </si>
  <si>
    <t>COBQOL_141E</t>
  </si>
  <si>
    <t>The things you do with other people?</t>
  </si>
  <si>
    <t>COBQOL_242E</t>
  </si>
  <si>
    <t>The amount of time you spend with other people?</t>
  </si>
  <si>
    <t>COBQOL_243E</t>
  </si>
  <si>
    <t>How do you feel about the people you see socially?</t>
  </si>
  <si>
    <t>COBQOL_244E</t>
  </si>
  <si>
    <t>Earned Income</t>
  </si>
  <si>
    <t>COBQOL_245F</t>
  </si>
  <si>
    <t>Social Security Benefits (SSA)</t>
  </si>
  <si>
    <t>COBQOL_246F</t>
  </si>
  <si>
    <t>Social Security Disability Income (SSDI)</t>
  </si>
  <si>
    <t>COBQOL_247F</t>
  </si>
  <si>
    <t>Supplemental Security Income (SSI)</t>
  </si>
  <si>
    <t>COBQOL_248F</t>
  </si>
  <si>
    <t>Armed Service connected disability payments</t>
  </si>
  <si>
    <t>COBQOL_249F</t>
  </si>
  <si>
    <t>Other Social Welfare benefits  state or county</t>
  </si>
  <si>
    <t>COBQOL_250F</t>
  </si>
  <si>
    <t>Vocational program</t>
  </si>
  <si>
    <t>COBQOL_251F</t>
  </si>
  <si>
    <t>Unemployment compensation</t>
  </si>
  <si>
    <t>COBQOL_252F</t>
  </si>
  <si>
    <t>Retirement, investment or savings income</t>
  </si>
  <si>
    <t>COBQOL_253F</t>
  </si>
  <si>
    <t>Rent supplements</t>
  </si>
  <si>
    <t>COBQOL_254F</t>
  </si>
  <si>
    <t>Alimony and child care</t>
  </si>
  <si>
    <t>COBQOL_255F</t>
  </si>
  <si>
    <t>Food Stamp</t>
  </si>
  <si>
    <t>COBQOL_256F</t>
  </si>
  <si>
    <t>Family and/or spouse contributions</t>
  </si>
  <si>
    <t>COBQOL_257F</t>
  </si>
  <si>
    <t>Other sources (specify)</t>
  </si>
  <si>
    <t>COBQOL_258F</t>
  </si>
  <si>
    <t>How much money did you receive during the past month from all of your sources of income and payment? (include job, disability, gifts, etc.)</t>
  </si>
  <si>
    <t>Dont know				  9997
Not applicable				  8888
Missing				          9999</t>
  </si>
  <si>
    <t>COBQOL_259F</t>
  </si>
  <si>
    <t>On the average, how much money did you have to spend on yourself in the past month, not counting money for room and meals</t>
  </si>
  <si>
    <t>Don?t know				  9997
Not applicable				  8888
Missing				          9999</t>
  </si>
  <si>
    <t>COBQOL_363F</t>
  </si>
  <si>
    <t>How reliable do you think R's responses were to Q1?</t>
  </si>
  <si>
    <t>COBQOL_364F</t>
  </si>
  <si>
    <t>very reliable</t>
  </si>
  <si>
    <t>generally reliable</t>
  </si>
  <si>
    <t>generally unreliable</t>
  </si>
  <si>
    <t>very unreliable</t>
  </si>
  <si>
    <t>During the past 6 months, did you generally have enough money to coverFood?</t>
  </si>
  <si>
    <t>COBQOL_467F</t>
  </si>
  <si>
    <t>Miss</t>
  </si>
  <si>
    <t>During the past 6 months, did you generally have enough money to cover Clothing?</t>
  </si>
  <si>
    <t>COBQOL_468F</t>
  </si>
  <si>
    <t>During the past 6 months, did you generally have enough money to coverHousing?</t>
  </si>
  <si>
    <t>COBQOL_469F</t>
  </si>
  <si>
    <t>During the past 6 months, did you generally have enough money to coverTraveling around the city for things</t>
  </si>
  <si>
    <t>COBQOL_470F</t>
  </si>
  <si>
    <t>During the past 6 months, did you generally have enough money to coverSocial activities like movies or eating in restaurants?</t>
  </si>
  <si>
    <t>COBQOL_471F</t>
  </si>
  <si>
    <t>In general how do you feel about: The amount of money you get?</t>
  </si>
  <si>
    <t>COBQOL_572F</t>
  </si>
  <si>
    <t>In general how do you feel about: How comfortable and well-off you are financially?</t>
  </si>
  <si>
    <t>COBQOL_573F</t>
  </si>
  <si>
    <t>In general how do you feel about the amount of money you have available to spend for fun?</t>
  </si>
  <si>
    <t>COBQOL_574F</t>
  </si>
  <si>
    <t>Have you worked during the past 6 months, that is since (DATE)? Are you working now?</t>
  </si>
  <si>
    <t>COBQOL_1G</t>
  </si>
  <si>
    <t>Yes, currently working</t>
  </si>
  <si>
    <t>Yes, worked in the past 6 months but not currently employed</t>
  </si>
  <si>
    <t>No work in the past 6 months</t>
  </si>
  <si>
    <t>What kind of work do you do at the present time?</t>
  </si>
  <si>
    <t>COBQOL_2G</t>
  </si>
  <si>
    <t>Higher executive, proprietor of a large corporation, major professional</t>
  </si>
  <si>
    <t>Business manager of a large corporation, proprietor of medium-sized business, lesser professional</t>
  </si>
  <si>
    <t>Administrative personnel, owner of small independent business, minor professional</t>
  </si>
  <si>
    <t>Clerical or sales work, technician owner of small business</t>
  </si>
  <si>
    <t>Skilled manual employee</t>
  </si>
  <si>
    <t>Machine operator</t>
  </si>
  <si>
    <t>Unskilled employee</t>
  </si>
  <si>
    <t>Never worked in paid employment</t>
  </si>
  <si>
    <t>Skip</t>
  </si>
  <si>
    <t>How many hours a week do you usually work?</t>
  </si>
  <si>
    <t>COBQOL_3G</t>
  </si>
  <si>
    <t>How much do you earn per hour/week at this job?</t>
  </si>
  <si>
    <t>(Complete both, if nothing, fill in zeros)
Skip=88888</t>
  </si>
  <si>
    <t>COBQOL_4G</t>
  </si>
  <si>
    <t>How do you feel about :Your job?</t>
  </si>
  <si>
    <t>COBQOL_517G</t>
  </si>
  <si>
    <t>What it is like where you work (The physical surrounding)</t>
  </si>
  <si>
    <t>COBQOL_518G</t>
  </si>
  <si>
    <t>How do you feel about the amount you get paid?</t>
  </si>
  <si>
    <t>COBQOL_519G</t>
  </si>
  <si>
    <t>In the past year, were you a victim of any nonviolent crimes such as burglary, theft of your property or money, or being cheated?</t>
  </si>
  <si>
    <t>COBQOL_120H</t>
  </si>
  <si>
    <t>In the past &lt;year&gt;, were you a victim of: Any nonviolent crimes such as burglary, theft of your property or money, or being cheated?</t>
  </si>
  <si>
    <t>COBQOL_121H</t>
  </si>
  <si>
    <t># of arrests</t>
  </si>
  <si>
    <t>COBQOL_2H</t>
  </si>
  <si>
    <t>How safe you are on the streets in your neighborhood?</t>
  </si>
  <si>
    <t>COBQOL_3241H</t>
  </si>
  <si>
    <t>How safe you are where you live?</t>
  </si>
  <si>
    <t>COBQOL_3242H</t>
  </si>
  <si>
    <t>How do you feel about the protection you have against being robbed or attacked?</t>
  </si>
  <si>
    <t>COBQOL_3243H</t>
  </si>
  <si>
    <t>In general, would you say your health is</t>
  </si>
  <si>
    <t>COBQOL_1I</t>
  </si>
  <si>
    <t>Very good</t>
  </si>
  <si>
    <t>How do you feel about our health in general?</t>
  </si>
  <si>
    <t>COBQOL_226I</t>
  </si>
  <si>
    <t>How do you feel about Your physical condition?</t>
  </si>
  <si>
    <t>COBQOL_227I</t>
  </si>
  <si>
    <t>How do you feel about your emotional well-being?</t>
  </si>
  <si>
    <t>COBQOL_228I</t>
  </si>
  <si>
    <t>COBQOL_1J</t>
  </si>
  <si>
    <t>Running Records</t>
  </si>
  <si>
    <t>SAS</t>
  </si>
  <si>
    <t>GAIT</t>
  </si>
  <si>
    <t>The patient is examined as he walks into the examining room, his gait, the swing of his arms, his general posture; all form the basis for an overall score for this item.  This is rated as follows:</t>
  </si>
  <si>
    <t>COSAS_1</t>
  </si>
  <si>
    <t>Diminution in swing while the patient is walking</t>
  </si>
  <si>
    <t>Marked diminution in swing with obvious rigidity in the arm</t>
  </si>
  <si>
    <t>Stiff gait with arms held rigidly before the abdomen</t>
  </si>
  <si>
    <t>Stopped shuffling gait with propulsion and retropulsion</t>
  </si>
  <si>
    <t>Not ratable</t>
  </si>
  <si>
    <t>ARM DROPPING</t>
  </si>
  <si>
    <t>The patient and the examiner both raise their arms to shoulder height and let them fall to their sides.  In a normal subject, a stout slap is heard as the arms hit the sides.  In the patient with extreme Parkinson's syndrome, the arms fall very slowly:</t>
  </si>
  <si>
    <t>COSAS_2</t>
  </si>
  <si>
    <t>Normal, free fall with loud slap and rebound</t>
  </si>
  <si>
    <t>Fall slowed slightly with less audible contact and little rebound</t>
  </si>
  <si>
    <t>Fall slowed, no rebound</t>
  </si>
  <si>
    <t>Marked slowing, no slap at all</t>
  </si>
  <si>
    <t>Arms fall as though against resistance; as though through glue</t>
  </si>
  <si>
    <t>SHOULDER SHAKING</t>
  </si>
  <si>
    <t>The subject's arms are bent at a right angle at the elbow and are taken one at a time by the examiner who grasps one hand and also clasps the other around the patient's elbow.  The subject's upper arm is pushed to and fro and the humerous is externally rotated.  The degree of resistance from normal to extreme rigidity is scored as follows:</t>
  </si>
  <si>
    <t>COSAS_3</t>
  </si>
  <si>
    <t>Slight stiffness and resistance</t>
  </si>
  <si>
    <t>Moderate stiffness and resistance</t>
  </si>
  <si>
    <t>Marked rigidity with difficulty in passive movement</t>
  </si>
  <si>
    <t>Extreme stiffness and rigidity with almost a frozen shoulder</t>
  </si>
  <si>
    <t>ELBOW RIGIDITY</t>
  </si>
  <si>
    <t>The elbow joints are separately bent at right angles and passively extended and flexed, with the subject's biceps observed and simultaneously palpated.  The resistance to this procedure is rated.  (The presence of cogwheel rigidity is noted separately.)</t>
  </si>
  <si>
    <t>COSAS_4</t>
  </si>
  <si>
    <t>Extreme stiffness and rigidity with almost a frozen elbow</t>
  </si>
  <si>
    <t>WRIST RIGIDITY or Fixation of position</t>
  </si>
  <si>
    <t>The wrist is held in one hand and the fingers held by the examiner's other hand, with the wrist moved to extension, flexion and ulner radial deviation:</t>
  </si>
  <si>
    <t>COSAS_5</t>
  </si>
  <si>
    <t>Extreme stiffness and rigidity with almost a frozen wrist</t>
  </si>
  <si>
    <t>HEAD ROTATION</t>
  </si>
  <si>
    <t>The patient sits or stands and is told that you are going to move his head from side to side, that it will not hurt and that he should try and relax.  (Questions about pain in the cervical area or difficulty in moving his head should be obtained to avoid causing any pain.)  Clasp the patient's head between the two hands with the fingers on the back of the neck.  Gently rotate the head in a circular motion 3 times and evaluate the muscular resistance to the movement.</t>
  </si>
  <si>
    <t>COSAS_6</t>
  </si>
  <si>
    <t>Loose, no resistance</t>
  </si>
  <si>
    <t>Slight resistance to movement although the time to rotate may be normal</t>
  </si>
  <si>
    <t>Resistance is apparent and the time of rotation is shortened</t>
  </si>
  <si>
    <t>Resistance is obvious and rotation is slowed</t>
  </si>
  <si>
    <t>Head appears stiff and rotation is difficult to carry out</t>
  </si>
  <si>
    <t>GLABELLA TAP</t>
  </si>
  <si>
    <t>Subject is told to open eyes wide and not to blink.  The glabella region is tapped at a steady, rapid speed.  The number of times patient blinks in succession is noted:</t>
  </si>
  <si>
    <t>COSAS_7</t>
  </si>
  <si>
    <t>0 - 5 blinks</t>
  </si>
  <si>
    <t>6 - 10 blinks</t>
  </si>
  <si>
    <t>11 - 15 blinks</t>
  </si>
  <si>
    <t>16 - 20 blinks</t>
  </si>
  <si>
    <t>21 and more blinks</t>
  </si>
  <si>
    <t>TREMOR</t>
  </si>
  <si>
    <t>Subject is observed walking into examining room and is then reexamined for this item:</t>
  </si>
  <si>
    <t>COSAS_8</t>
  </si>
  <si>
    <t>Mild finger tremor, obvious to sight and touch</t>
  </si>
  <si>
    <t>Tremor of hand or arm occurring spasmodically</t>
  </si>
  <si>
    <t>Persistent tremor of one or more limbs</t>
  </si>
  <si>
    <t>Whole body tremor</t>
  </si>
  <si>
    <t>SCID II Summary</t>
  </si>
  <si>
    <t>Axis I Primary</t>
  </si>
  <si>
    <t>Clinical Disorders, most V-Codes, and conditions that need Clinical attention</t>
  </si>
  <si>
    <t>SCIDII_01</t>
  </si>
  <si>
    <t>Axis I Secondary</t>
  </si>
  <si>
    <t>SCIDII_02</t>
  </si>
  <si>
    <t>Axis II</t>
  </si>
  <si>
    <t>Personality Disorders and Mental Retardation</t>
  </si>
  <si>
    <t>SCIDII_03</t>
  </si>
  <si>
    <t>Axis III</t>
  </si>
  <si>
    <t>General Medical Conditions</t>
  </si>
  <si>
    <t>SCIDII_04</t>
  </si>
  <si>
    <t>Axis V</t>
  </si>
  <si>
    <t>Global Assessment of Functioning [GAF]</t>
  </si>
  <si>
    <t>SCIDII_05</t>
  </si>
  <si>
    <t>Alcohol Lifetime</t>
  </si>
  <si>
    <t>SCIDII_06</t>
  </si>
  <si>
    <t>1-Absent</t>
  </si>
  <si>
    <t>2-Abuse</t>
  </si>
  <si>
    <t>3-Dependent</t>
  </si>
  <si>
    <t>Alcohol Current</t>
  </si>
  <si>
    <t>SCIDII_07</t>
  </si>
  <si>
    <t>Sedative-Hypnotic-Anxiolytic Lifetime</t>
  </si>
  <si>
    <t>SCIDII_08</t>
  </si>
  <si>
    <t>Sedative-Hypnotic-Anxiolytic Current</t>
  </si>
  <si>
    <t>SCIDII_09</t>
  </si>
  <si>
    <t>Cannabis Lifetime</t>
  </si>
  <si>
    <t>SCIDII_10</t>
  </si>
  <si>
    <t>Cannabis Current</t>
  </si>
  <si>
    <t>SCIDII_11</t>
  </si>
  <si>
    <t>Stimulants Lifetime</t>
  </si>
  <si>
    <t>SCIDII_12</t>
  </si>
  <si>
    <t>Stimulants Current</t>
  </si>
  <si>
    <t>SCIDII_13</t>
  </si>
  <si>
    <t>Opioid Lifetime</t>
  </si>
  <si>
    <t>SCIDII_14</t>
  </si>
  <si>
    <t>Opioid Current</t>
  </si>
  <si>
    <t>SCIDII_15</t>
  </si>
  <si>
    <t>Cocaine Lifetime</t>
  </si>
  <si>
    <t>SCIDII_16</t>
  </si>
  <si>
    <t>Cocaine Current</t>
  </si>
  <si>
    <t>SCIDII_17</t>
  </si>
  <si>
    <t>Halluc/PCP Lifetime</t>
  </si>
  <si>
    <t>SCIDII_18</t>
  </si>
  <si>
    <t>Halluc/PCP Current</t>
  </si>
  <si>
    <t>SCIDII_19</t>
  </si>
  <si>
    <t>Poly Drug Lifetime</t>
  </si>
  <si>
    <t>SCIDII_20</t>
  </si>
  <si>
    <t>Poly Drug Current</t>
  </si>
  <si>
    <t>SCIDII_21</t>
  </si>
  <si>
    <t>Other Lifetime</t>
  </si>
  <si>
    <t>SCIDII_22</t>
  </si>
  <si>
    <t>Other Current</t>
  </si>
  <si>
    <t>SCIDII_23</t>
  </si>
  <si>
    <t>UPSA</t>
  </si>
  <si>
    <t>Medication Management</t>
  </si>
  <si>
    <t>Total Score</t>
  </si>
  <si>
    <t>UPSA3_01</t>
  </si>
  <si>
    <t>Medcation Management</t>
  </si>
  <si>
    <t>Percent Correct</t>
  </si>
  <si>
    <t>UPSA3_02</t>
  </si>
  <si>
    <t>Subscale Score</t>
  </si>
  <si>
    <t>UPSA3_03</t>
  </si>
  <si>
    <t>Comprehension/Planning</t>
  </si>
  <si>
    <t>UPSA3_04</t>
  </si>
  <si>
    <t>UPSA3_05</t>
  </si>
  <si>
    <t>UPSA3_06</t>
  </si>
  <si>
    <t>Financial</t>
  </si>
  <si>
    <t>UPSA3_07</t>
  </si>
  <si>
    <t>UPSA3_08</t>
  </si>
  <si>
    <t>UPSA3_09</t>
  </si>
  <si>
    <t>Communication</t>
  </si>
  <si>
    <t>UPSA3_10</t>
  </si>
  <si>
    <t>UPSA3_11</t>
  </si>
  <si>
    <t>UPSA3_12</t>
  </si>
  <si>
    <t>Transportation</t>
  </si>
  <si>
    <t>UPSA3_13</t>
  </si>
  <si>
    <t>UPSA3_14</t>
  </si>
  <si>
    <t>UPSA3_15</t>
  </si>
  <si>
    <t>Household Skills</t>
  </si>
  <si>
    <t>UPSA3_16</t>
  </si>
  <si>
    <t>UPSA3_17</t>
  </si>
  <si>
    <t>Subscale Scores</t>
  </si>
  <si>
    <t>UPSA3_18</t>
  </si>
  <si>
    <t>Young Mania Scale</t>
  </si>
  <si>
    <t>Elevated mood</t>
  </si>
  <si>
    <t>YMC_01</t>
  </si>
  <si>
    <t>0-Absent</t>
  </si>
  <si>
    <t>1-Mildly or possible increased on questioning</t>
  </si>
  <si>
    <t>2-Definite subject elevation; optimistic, self confident; cheerful; appropriate to content</t>
  </si>
  <si>
    <t>3-Elevated, inappropriate to content; humorous</t>
  </si>
  <si>
    <t>4-Euphoric; inappropriate laughter; singing</t>
  </si>
  <si>
    <t>Increased Motor Activity-Energy</t>
  </si>
  <si>
    <t>YMC_02</t>
  </si>
  <si>
    <t>1-Subject increased</t>
  </si>
  <si>
    <t>2-Animated; gestures increased</t>
  </si>
  <si>
    <t>3-Excessive energy; hyperactive at times; restless (can be calmed)</t>
  </si>
  <si>
    <t>4-Motor excitement; continuous hyperactivity (cannot be calmed)</t>
  </si>
  <si>
    <t>Sexual Interest</t>
  </si>
  <si>
    <t>YMC_03</t>
  </si>
  <si>
    <t>0-Normal; not increased</t>
  </si>
  <si>
    <t>1-Mildly or possibly increased</t>
  </si>
  <si>
    <t>2-Definite subjective increase on questioning</t>
  </si>
  <si>
    <t>3-Spontaneous sexual content; elaborates on sexual matters; hypersexual by self report</t>
  </si>
  <si>
    <t>4-Overt sexual acts (toward patient, staff, or interviewer)</t>
  </si>
  <si>
    <t>Sleep</t>
  </si>
  <si>
    <t>YMC_04</t>
  </si>
  <si>
    <t>0-Reports no decrease in sleep</t>
  </si>
  <si>
    <t>1-Sleeping less than normal amount by up to one hour</t>
  </si>
  <si>
    <t>2-Sleeping leas than normal by more than one hour</t>
  </si>
  <si>
    <t>3-Reports decrease need for sleep</t>
  </si>
  <si>
    <t>4-Denies need for sleep</t>
  </si>
  <si>
    <t>Irritability</t>
  </si>
  <si>
    <t>YMC_05</t>
  </si>
  <si>
    <t>1-Subjectively increased</t>
  </si>
  <si>
    <t>2-Irritable at times during interview; recent episodes of anger or annoyance on ward</t>
  </si>
  <si>
    <t>3-Frequently irritable during interview; short curt throughout</t>
  </si>
  <si>
    <t>4-Hostile, uncooperative; interview impossible</t>
  </si>
  <si>
    <t>Speech (Rate and Anount)</t>
  </si>
  <si>
    <t>YMC_06</t>
  </si>
  <si>
    <t>0-No increase</t>
  </si>
  <si>
    <t>2-Feels talkative</t>
  </si>
  <si>
    <t>4-Increased rate or amount at times, verbose at times</t>
  </si>
  <si>
    <t>6-Push; consistently increased rate and amount difficult to interrupt</t>
  </si>
  <si>
    <t>8-Pressured; uninterruptible, continuous seed</t>
  </si>
  <si>
    <t>Language-Thought Disorder</t>
  </si>
  <si>
    <t>YMC_07</t>
  </si>
  <si>
    <t>1-Circumstantial; mild distractibility; quick thoughts</t>
  </si>
  <si>
    <t>2-Distractible; loses goal of thought; changes topics frequently; Racing thoughts</t>
  </si>
  <si>
    <t>3-Flight of ideas; tangentiality; difficult to follow; rhyming, echolalia</t>
  </si>
  <si>
    <t>4-Incoherent; communication impossible</t>
  </si>
  <si>
    <t>Content</t>
  </si>
  <si>
    <t>YMC_08</t>
  </si>
  <si>
    <t>0-Normal</t>
  </si>
  <si>
    <t>2-Questionable plans, new interests</t>
  </si>
  <si>
    <t>4-Special project(s); hyper religious</t>
  </si>
  <si>
    <t>6-Grandiose or paranoid ideas; ideas of reference</t>
  </si>
  <si>
    <t>8-Delusions; hallucinations</t>
  </si>
  <si>
    <t>Disruptive-Aggressive Behavior</t>
  </si>
  <si>
    <t>YMC_09</t>
  </si>
  <si>
    <t>2-Sarcastic; loud at times, guarded</t>
  </si>
  <si>
    <t>4-Demanding; threats on ward</t>
  </si>
  <si>
    <t>6-Threatens interviewer; shouting; interview difficult</t>
  </si>
  <si>
    <t>8-Assaultive; destructive; interview impossible</t>
  </si>
  <si>
    <t>Appearance</t>
  </si>
  <si>
    <t>YMC_10</t>
  </si>
  <si>
    <t>0-Appropriate dress and grooming</t>
  </si>
  <si>
    <t>1-Minimally unkempt</t>
  </si>
  <si>
    <t>2-Poor groomed; moderately dishevelled; overdressed</t>
  </si>
  <si>
    <t>3-Dishevelled; partly clothed; garish make-up</t>
  </si>
  <si>
    <t>4-Completely unkempt; decorated; bizarre garb</t>
  </si>
  <si>
    <t>Insight</t>
  </si>
  <si>
    <t>YMC_11</t>
  </si>
  <si>
    <t>0-Present; admits illness; agrees with need for treatment</t>
  </si>
  <si>
    <t>1-Possibly ill</t>
  </si>
  <si>
    <t>2-Admits behavior change, but denies illness</t>
  </si>
  <si>
    <t>3-Admits possible change in behavior, but denies illness</t>
  </si>
  <si>
    <t>4-Denies any behavior change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</si>
</sst>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 hh:mm\ AM/PM"/>
    <numFmt numFmtId="165" formatCode="m/d/yyyy"/>
  </numFmts>
  <fonts count="3" x14ac:knownFonts="1">
    <font>
      <sz val="10"/>
      <name val="Arial"/>
      <family val="2"/>
    </font>
    <font>
      <sz val="10"/>
      <name val="Arial"/>
      <family val="2"/>
      <charset val="1"/>
    </font>
    <font>
      <b/>
      <sz val="11"/>
      <color indexed="8"/>
      <name val="Calibri"/>
      <family val="2"/>
      <charset val="1"/>
    </font>
  </fonts>
  <fills count="3">
    <fill>
      <patternFill patternType="none"/>
    </fill>
    <fill>
      <patternFill patternType="gray125"/>
    </fill>
    <fill>
      <patternFill patternType="solid">
        <fgColor indexed="57"/>
        <bgColor indexed="21"/>
      </patternFill>
    </fill>
  </fills>
  <borders count="6">
    <border>
      <left/>
      <right/>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s>
  <cellStyleXfs count="3">
    <xf numFmtId="0" fontId="0" fillId="0" borderId="0"/>
    <xf numFmtId="0" fontId="1" fillId="0" borderId="0"/>
    <xf numFmtId="0" fontId="1" fillId="0" borderId="0"/>
  </cellStyleXfs>
  <cellXfs count="18">
    <xf numFmtId="0" fontId="0" fillId="0" borderId="0" xfId="0"/>
    <xf numFmtId="0" fontId="1" fillId="0" borderId="0" xfId="1"/>
    <xf numFmtId="49" fontId="0" fillId="0" borderId="0" xfId="0" applyNumberFormat="1" applyFont="1"/>
    <xf numFmtId="164" fontId="0" fillId="0" borderId="0" xfId="0" applyNumberFormat="1" applyFont="1"/>
    <xf numFmtId="0" fontId="1" fillId="2" borderId="0" xfId="1" applyFont="1" applyFill="1"/>
    <xf numFmtId="0" fontId="0" fillId="0" borderId="0" xfId="0" applyAlignment="1">
      <alignment horizontal="left"/>
    </xf>
    <xf numFmtId="0" fontId="2" fillId="0" borderId="0" xfId="0" applyFont="1"/>
    <xf numFmtId="0" fontId="0" fillId="0" borderId="1" xfId="0" applyFont="1" applyBorder="1"/>
    <xf numFmtId="0" fontId="0" fillId="0" borderId="2" xfId="0" applyFont="1" applyBorder="1"/>
    <xf numFmtId="0" fontId="0" fillId="0" borderId="3" xfId="0" applyFont="1" applyBorder="1"/>
    <xf numFmtId="0" fontId="0" fillId="0" borderId="0" xfId="0" applyFont="1" applyBorder="1"/>
    <xf numFmtId="165" fontId="0" fillId="0" borderId="0" xfId="0" applyNumberFormat="1" applyBorder="1"/>
    <xf numFmtId="17" fontId="0" fillId="0" borderId="0" xfId="0" applyNumberFormat="1" applyBorder="1"/>
    <xf numFmtId="0" fontId="0" fillId="0" borderId="4" xfId="0" applyFont="1" applyBorder="1"/>
    <xf numFmtId="0" fontId="0" fillId="0" borderId="5" xfId="0" applyFont="1" applyBorder="1"/>
    <xf numFmtId="16" fontId="0" fillId="0" borderId="0" xfId="0" applyNumberFormat="1"/>
    <xf numFmtId="0" fontId="0" fillId="0" borderId="0" xfId="0" applyAlignment="1">
      <alignment wrapText="1"/>
    </xf>
    <xf numFmtId="0" fontId="0" fillId="0" borderId="0" xfId="0" applyNumberFormat="1"/>
  </cellXfs>
  <cellStyles count="3">
    <cellStyle name="Excel Built-in Normal" xfId="2"/>
    <cellStyle name="Excel Built-in Normal 1" xfId="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Medium7"/>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00B050"/>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1" Type="http://schemas.openxmlformats.org/officeDocument/2006/relationships/styles" Target="styles.xml"/><Relationship Id="rId12" Type="http://schemas.openxmlformats.org/officeDocument/2006/relationships/sharedStrings" Target="sharedStrings.xml"/><Relationship Id="rId13"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externalLink" Target="externalLinks/externalLink1.xml"/><Relationship Id="rId10"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sktop/INDI%20I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ow r="1">
          <cell r="H1" t="str">
            <v>M87173659</v>
          </cell>
          <cell r="I1" t="str">
            <v>A00020968</v>
          </cell>
        </row>
        <row r="2">
          <cell r="H2" t="str">
            <v>M87141217</v>
          </cell>
          <cell r="I2" t="str">
            <v>A00019293</v>
          </cell>
        </row>
        <row r="3">
          <cell r="H3" t="str">
            <v>M87175187</v>
          </cell>
          <cell r="I3" t="str">
            <v>A00024953</v>
          </cell>
        </row>
        <row r="4">
          <cell r="H4" t="str">
            <v>M87127854</v>
          </cell>
          <cell r="I4" t="str">
            <v>A00028582</v>
          </cell>
        </row>
        <row r="5">
          <cell r="H5" t="str">
            <v>M87149848</v>
          </cell>
          <cell r="I5" t="str">
            <v>A00020895</v>
          </cell>
        </row>
        <row r="6">
          <cell r="H6" t="str">
            <v>M87179851</v>
          </cell>
          <cell r="I6" t="str">
            <v>A00013816</v>
          </cell>
        </row>
        <row r="7">
          <cell r="H7" t="str">
            <v>M87105262</v>
          </cell>
          <cell r="I7" t="str">
            <v>A00022773</v>
          </cell>
        </row>
        <row r="8">
          <cell r="H8" t="str">
            <v>M87144416</v>
          </cell>
          <cell r="I8" t="str">
            <v>A00028406</v>
          </cell>
        </row>
        <row r="9">
          <cell r="H9" t="str">
            <v>M87177386</v>
          </cell>
          <cell r="I9" t="str">
            <v>A00022592</v>
          </cell>
        </row>
        <row r="10">
          <cell r="H10" t="str">
            <v>M87140955</v>
          </cell>
          <cell r="I10" t="str">
            <v>A00001251</v>
          </cell>
        </row>
        <row r="11">
          <cell r="H11" t="str">
            <v>M87157534</v>
          </cell>
          <cell r="I11" t="str">
            <v>A00021058</v>
          </cell>
        </row>
        <row r="12">
          <cell r="H12" t="str">
            <v>M87119958</v>
          </cell>
          <cell r="I12" t="str">
            <v>A00018317</v>
          </cell>
        </row>
        <row r="13">
          <cell r="H13" t="str">
            <v>M87132404</v>
          </cell>
          <cell r="I13" t="str">
            <v>A00019888</v>
          </cell>
        </row>
        <row r="14">
          <cell r="H14" t="str">
            <v>M87101037</v>
          </cell>
          <cell r="I14" t="str">
            <v>A00000456</v>
          </cell>
        </row>
        <row r="15">
          <cell r="H15" t="str">
            <v>M87125087</v>
          </cell>
          <cell r="I15" t="str">
            <v>A00001243</v>
          </cell>
        </row>
        <row r="16">
          <cell r="H16" t="str">
            <v>M87106164</v>
          </cell>
          <cell r="I16" t="str">
            <v>A00023337</v>
          </cell>
        </row>
        <row r="17">
          <cell r="H17" t="str">
            <v>M87133950</v>
          </cell>
          <cell r="I17" t="str">
            <v>A00014175</v>
          </cell>
        </row>
        <row r="18">
          <cell r="H18" t="str">
            <v>M87187211</v>
          </cell>
          <cell r="I18" t="str">
            <v>A00024198</v>
          </cell>
        </row>
        <row r="19">
          <cell r="H19" t="str">
            <v>M87106603</v>
          </cell>
          <cell r="I19" t="str">
            <v>A00022500</v>
          </cell>
        </row>
        <row r="20">
          <cell r="H20" t="str">
            <v>M87144544</v>
          </cell>
          <cell r="I20" t="str">
            <v>A00016720</v>
          </cell>
        </row>
        <row r="21">
          <cell r="H21" t="str">
            <v>M87190274</v>
          </cell>
          <cell r="I21" t="str">
            <v>A00021598</v>
          </cell>
        </row>
        <row r="22">
          <cell r="H22" t="str">
            <v>M87109031</v>
          </cell>
          <cell r="I22" t="str">
            <v>A00020805</v>
          </cell>
        </row>
        <row r="23">
          <cell r="H23" t="str">
            <v>M87130520</v>
          </cell>
          <cell r="I23" t="str">
            <v>A00022729</v>
          </cell>
        </row>
        <row r="24">
          <cell r="H24" t="str">
            <v>M87165160</v>
          </cell>
          <cell r="I24" t="str">
            <v>A00024959</v>
          </cell>
        </row>
        <row r="25">
          <cell r="H25" t="str">
            <v>M87180649</v>
          </cell>
          <cell r="I25" t="str">
            <v>A00022810</v>
          </cell>
        </row>
        <row r="26">
          <cell r="H26" t="str">
            <v>M87118855</v>
          </cell>
          <cell r="I26" t="str">
            <v>A00015826</v>
          </cell>
        </row>
        <row r="27">
          <cell r="H27" t="str">
            <v>M87189300</v>
          </cell>
          <cell r="I27" t="str">
            <v>A00021072</v>
          </cell>
        </row>
        <row r="28">
          <cell r="H28" t="str">
            <v>M87120631</v>
          </cell>
          <cell r="I28" t="str">
            <v>A00014225</v>
          </cell>
        </row>
        <row r="29">
          <cell r="H29" t="str">
            <v>M87110696</v>
          </cell>
          <cell r="I29" t="str">
            <v>A00022400</v>
          </cell>
        </row>
        <row r="30">
          <cell r="H30" t="str">
            <v>M87108065</v>
          </cell>
          <cell r="I30" t="str">
            <v>A00022687</v>
          </cell>
        </row>
        <row r="31">
          <cell r="H31" t="str">
            <v>M87103074</v>
          </cell>
          <cell r="I31" t="str">
            <v>A00022509</v>
          </cell>
        </row>
        <row r="32">
          <cell r="H32" t="str">
            <v>M87123391</v>
          </cell>
          <cell r="I32" t="str">
            <v>A00024546</v>
          </cell>
        </row>
        <row r="33">
          <cell r="H33" t="str">
            <v>M87103823</v>
          </cell>
          <cell r="I33" t="str">
            <v>A00023848</v>
          </cell>
        </row>
        <row r="34">
          <cell r="H34" t="str">
            <v>M87142950</v>
          </cell>
          <cell r="I34" t="str">
            <v>A00024446</v>
          </cell>
        </row>
        <row r="35">
          <cell r="H35" t="str">
            <v>M87115685</v>
          </cell>
          <cell r="I35" t="str">
            <v>A00018598</v>
          </cell>
        </row>
        <row r="36">
          <cell r="H36" t="str">
            <v>M87160684</v>
          </cell>
          <cell r="I36" t="str">
            <v>A00016723</v>
          </cell>
        </row>
        <row r="37">
          <cell r="H37" t="str">
            <v>M87171589</v>
          </cell>
          <cell r="I37" t="str">
            <v>A00028402</v>
          </cell>
        </row>
        <row r="38">
          <cell r="H38" t="str">
            <v>M87120535</v>
          </cell>
          <cell r="I38" t="str">
            <v>A00023143</v>
          </cell>
        </row>
        <row r="39">
          <cell r="H39" t="str">
            <v>M87160336</v>
          </cell>
          <cell r="I39" t="str">
            <v>A00027411</v>
          </cell>
        </row>
        <row r="40">
          <cell r="H40" t="str">
            <v>M87173064</v>
          </cell>
          <cell r="I40" t="str">
            <v>A00027391</v>
          </cell>
        </row>
        <row r="41">
          <cell r="H41" t="str">
            <v>M87174491</v>
          </cell>
          <cell r="I41" t="str">
            <v>A00017294</v>
          </cell>
        </row>
        <row r="42">
          <cell r="H42" t="str">
            <v>M87180947</v>
          </cell>
          <cell r="I42" t="str">
            <v>A00014898</v>
          </cell>
        </row>
        <row r="43">
          <cell r="H43" t="str">
            <v>M87137280</v>
          </cell>
          <cell r="I43" t="str">
            <v>A00024510</v>
          </cell>
        </row>
        <row r="44">
          <cell r="H44" t="str">
            <v>M87119634</v>
          </cell>
          <cell r="I44" t="str">
            <v>A00024535</v>
          </cell>
        </row>
        <row r="45">
          <cell r="H45" t="str">
            <v>M87119438</v>
          </cell>
          <cell r="I45" t="str">
            <v>A00027410</v>
          </cell>
        </row>
        <row r="46">
          <cell r="H46" t="str">
            <v>M87156700</v>
          </cell>
          <cell r="I46" t="str">
            <v>A00018553</v>
          </cell>
        </row>
        <row r="47">
          <cell r="H47" t="str">
            <v>M87192473</v>
          </cell>
          <cell r="I47" t="str">
            <v>A00022727</v>
          </cell>
        </row>
        <row r="48">
          <cell r="H48" t="str">
            <v>M87163457</v>
          </cell>
          <cell r="I48" t="str">
            <v>A00018716</v>
          </cell>
        </row>
        <row r="49">
          <cell r="H49" t="str">
            <v>M87101027</v>
          </cell>
          <cell r="I49" t="str">
            <v>A00024228</v>
          </cell>
        </row>
        <row r="50">
          <cell r="H50" t="str">
            <v>M87131520</v>
          </cell>
          <cell r="I50" t="str">
            <v>A00012767</v>
          </cell>
        </row>
        <row r="51">
          <cell r="H51" t="str">
            <v>M87146780</v>
          </cell>
          <cell r="I51" t="str">
            <v>A00020414</v>
          </cell>
        </row>
        <row r="52">
          <cell r="H52" t="str">
            <v>M87136522</v>
          </cell>
          <cell r="I52" t="str">
            <v>A00014590</v>
          </cell>
        </row>
        <row r="53">
          <cell r="H53" t="str">
            <v>M87193753</v>
          </cell>
          <cell r="I53" t="str">
            <v>A00013140</v>
          </cell>
        </row>
        <row r="54">
          <cell r="H54" t="str">
            <v>M87163083</v>
          </cell>
          <cell r="I54" t="str">
            <v>A00018434</v>
          </cell>
        </row>
        <row r="55">
          <cell r="H55" t="str">
            <v>M87188116</v>
          </cell>
          <cell r="I55" t="str">
            <v>A00009280</v>
          </cell>
        </row>
        <row r="56">
          <cell r="H56" t="str">
            <v>M87129467</v>
          </cell>
          <cell r="I56" t="str">
            <v>A00028405</v>
          </cell>
        </row>
        <row r="57">
          <cell r="H57" t="str">
            <v>M87172142</v>
          </cell>
          <cell r="I57" t="str">
            <v>A00014719</v>
          </cell>
        </row>
        <row r="58">
          <cell r="H58" t="str">
            <v>M87116294</v>
          </cell>
          <cell r="I58" t="str">
            <v>A00018129</v>
          </cell>
        </row>
        <row r="59">
          <cell r="H59" t="str">
            <v>M87157377</v>
          </cell>
          <cell r="I59" t="str">
            <v>A00023730</v>
          </cell>
        </row>
        <row r="60">
          <cell r="H60" t="str">
            <v>M87148607</v>
          </cell>
          <cell r="I60" t="str">
            <v>A00018979</v>
          </cell>
        </row>
        <row r="61">
          <cell r="H61" t="str">
            <v>M87163073</v>
          </cell>
          <cell r="I61" t="str">
            <v>A00027787</v>
          </cell>
        </row>
        <row r="62">
          <cell r="H62" t="str">
            <v>M87182613</v>
          </cell>
          <cell r="I62" t="str">
            <v>A00024684</v>
          </cell>
        </row>
        <row r="63">
          <cell r="H63" t="str">
            <v>M87140673</v>
          </cell>
          <cell r="I63" t="str">
            <v>A00028189</v>
          </cell>
        </row>
        <row r="64">
          <cell r="H64" t="str">
            <v>M87134466</v>
          </cell>
          <cell r="I64" t="str">
            <v>A00027537</v>
          </cell>
        </row>
        <row r="65">
          <cell r="H65" t="str">
            <v>M87182657</v>
          </cell>
          <cell r="I65" t="str">
            <v>A00028410</v>
          </cell>
        </row>
        <row r="66">
          <cell r="H66" t="str">
            <v>M87165239</v>
          </cell>
          <cell r="I66" t="str">
            <v>A00028303</v>
          </cell>
        </row>
        <row r="67">
          <cell r="H67" t="str">
            <v>M87142218</v>
          </cell>
          <cell r="I67" t="str">
            <v>A00024820</v>
          </cell>
        </row>
        <row r="68">
          <cell r="H68" t="str">
            <v>M87100994</v>
          </cell>
          <cell r="I68" t="str">
            <v>A00011265</v>
          </cell>
        </row>
        <row r="69">
          <cell r="H69" t="str">
            <v>M87150666</v>
          </cell>
          <cell r="I69" t="str">
            <v>A00024372</v>
          </cell>
        </row>
        <row r="70">
          <cell r="H70" t="str">
            <v>M87158469</v>
          </cell>
          <cell r="I70" t="str">
            <v>A00024301</v>
          </cell>
        </row>
        <row r="71">
          <cell r="H71" t="str">
            <v>M87199559</v>
          </cell>
          <cell r="I71" t="str">
            <v>A00022837</v>
          </cell>
        </row>
        <row r="72">
          <cell r="H72" t="str">
            <v>M87170347</v>
          </cell>
          <cell r="I72" t="str">
            <v>A00022619</v>
          </cell>
        </row>
        <row r="73">
          <cell r="H73" t="str">
            <v>M87193911</v>
          </cell>
          <cell r="I73" t="str">
            <v>A00017147</v>
          </cell>
        </row>
        <row r="74">
          <cell r="H74" t="str">
            <v>M87103558</v>
          </cell>
          <cell r="I74" t="str">
            <v>A00028404</v>
          </cell>
        </row>
        <row r="75">
          <cell r="H75" t="str">
            <v>M87177552</v>
          </cell>
          <cell r="I75" t="str">
            <v>A00023095</v>
          </cell>
        </row>
        <row r="76">
          <cell r="H76" t="str">
            <v>M87141735</v>
          </cell>
          <cell r="I76" t="str">
            <v>A00015759</v>
          </cell>
        </row>
        <row r="77">
          <cell r="H77" t="str">
            <v>M87101028</v>
          </cell>
          <cell r="I77" t="str">
            <v>A00001452</v>
          </cell>
        </row>
        <row r="78">
          <cell r="H78" t="str">
            <v>M87136318</v>
          </cell>
          <cell r="I78" t="str">
            <v>A00023590</v>
          </cell>
        </row>
        <row r="79">
          <cell r="H79" t="str">
            <v>M87108422</v>
          </cell>
          <cell r="I79" t="str">
            <v>A00000300</v>
          </cell>
        </row>
        <row r="80">
          <cell r="H80" t="str">
            <v>M87125112</v>
          </cell>
          <cell r="I80" t="str">
            <v>A00012995</v>
          </cell>
        </row>
        <row r="81">
          <cell r="H81" t="str">
            <v>M87158537</v>
          </cell>
          <cell r="I81" t="str">
            <v>A00002198</v>
          </cell>
        </row>
        <row r="82">
          <cell r="H82" t="str">
            <v>M87153658</v>
          </cell>
          <cell r="I82" t="str">
            <v>A00026907</v>
          </cell>
        </row>
        <row r="83">
          <cell r="H83" t="str">
            <v>M87137928</v>
          </cell>
          <cell r="I83" t="str">
            <v>A00023158</v>
          </cell>
        </row>
        <row r="84">
          <cell r="H84" t="str">
            <v>M87153421</v>
          </cell>
          <cell r="I84" t="str">
            <v>A00020984</v>
          </cell>
        </row>
        <row r="85">
          <cell r="H85" t="str">
            <v>M87123638</v>
          </cell>
          <cell r="I85" t="str">
            <v>A00015518</v>
          </cell>
        </row>
        <row r="86">
          <cell r="H86" t="str">
            <v>M87144049</v>
          </cell>
          <cell r="I86" t="str">
            <v>A00004087</v>
          </cell>
        </row>
        <row r="87">
          <cell r="H87" t="str">
            <v>M87197356</v>
          </cell>
          <cell r="I87" t="str">
            <v>A00020602</v>
          </cell>
        </row>
        <row r="88">
          <cell r="H88" t="str">
            <v>M87101811</v>
          </cell>
          <cell r="I88" t="str">
            <v>A00000909</v>
          </cell>
        </row>
        <row r="89">
          <cell r="H89" t="str">
            <v>M87174476</v>
          </cell>
          <cell r="I89" t="str">
            <v>A00028409</v>
          </cell>
        </row>
        <row r="90">
          <cell r="H90" t="str">
            <v>M87156128</v>
          </cell>
          <cell r="I90" t="str">
            <v>A00010150</v>
          </cell>
        </row>
        <row r="91">
          <cell r="H91" t="str">
            <v>M87107805</v>
          </cell>
          <cell r="I91" t="str">
            <v>A00014839</v>
          </cell>
        </row>
        <row r="92">
          <cell r="H92" t="str">
            <v>M87147020</v>
          </cell>
          <cell r="I92" t="str">
            <v>A00002480</v>
          </cell>
        </row>
        <row r="93">
          <cell r="H93" t="str">
            <v>M87157509</v>
          </cell>
          <cell r="I93" t="str">
            <v>A00023866</v>
          </cell>
        </row>
        <row r="94">
          <cell r="H94" t="str">
            <v>M87174402</v>
          </cell>
          <cell r="I94" t="str">
            <v>A00027969</v>
          </cell>
        </row>
        <row r="95">
          <cell r="H95" t="str">
            <v>M87146545</v>
          </cell>
          <cell r="I95" t="str">
            <v>A00015201</v>
          </cell>
        </row>
        <row r="96">
          <cell r="H96" t="str">
            <v>M87188317</v>
          </cell>
          <cell r="I96" t="str">
            <v>A00010684</v>
          </cell>
        </row>
        <row r="97">
          <cell r="H97" t="str">
            <v>M87196666</v>
          </cell>
          <cell r="I97" t="str">
            <v>A00000838</v>
          </cell>
        </row>
        <row r="98">
          <cell r="H98" t="str">
            <v>M87139598</v>
          </cell>
          <cell r="I98" t="str">
            <v>A00006754</v>
          </cell>
        </row>
        <row r="99">
          <cell r="H99" t="str">
            <v>M87123290</v>
          </cell>
          <cell r="I99" t="str">
            <v>A00007409</v>
          </cell>
        </row>
        <row r="100">
          <cell r="H100" t="str">
            <v>M87135109</v>
          </cell>
          <cell r="I100" t="str">
            <v>A00020416</v>
          </cell>
        </row>
        <row r="101">
          <cell r="H101" t="str">
            <v>M87151222</v>
          </cell>
          <cell r="I101" t="str">
            <v>A00027755</v>
          </cell>
        </row>
        <row r="102">
          <cell r="H102" t="str">
            <v>M87142686</v>
          </cell>
          <cell r="I102" t="str">
            <v>A00022835</v>
          </cell>
        </row>
        <row r="103">
          <cell r="H103" t="str">
            <v>M87141421</v>
          </cell>
          <cell r="I103" t="str">
            <v>A00019349</v>
          </cell>
        </row>
        <row r="104">
          <cell r="H104" t="str">
            <v>M87182428</v>
          </cell>
          <cell r="I104" t="str">
            <v>A00023800</v>
          </cell>
        </row>
        <row r="105">
          <cell r="H105" t="str">
            <v>M87129245</v>
          </cell>
          <cell r="I105" t="str">
            <v>A00024160</v>
          </cell>
        </row>
        <row r="106">
          <cell r="H106" t="str">
            <v>M87179113</v>
          </cell>
          <cell r="I106" t="str">
            <v>A00024932</v>
          </cell>
        </row>
        <row r="107">
          <cell r="H107" t="str">
            <v>M87185493</v>
          </cell>
          <cell r="I107" t="str">
            <v>A00023131</v>
          </cell>
        </row>
        <row r="108">
          <cell r="H108" t="str">
            <v>M87101227</v>
          </cell>
          <cell r="I108" t="str">
            <v>A00024955</v>
          </cell>
        </row>
        <row r="109">
          <cell r="H109" t="str">
            <v>M87198018</v>
          </cell>
          <cell r="I109" t="str">
            <v>A00018403</v>
          </cell>
        </row>
        <row r="110">
          <cell r="H110" t="str">
            <v>M87172850</v>
          </cell>
          <cell r="I110" t="str">
            <v>A00014804</v>
          </cell>
        </row>
        <row r="111">
          <cell r="H111" t="str">
            <v>M87182667</v>
          </cell>
          <cell r="I111" t="str">
            <v>A00000368</v>
          </cell>
        </row>
        <row r="112">
          <cell r="H112" t="str">
            <v>M87113543</v>
          </cell>
          <cell r="I112" t="str">
            <v>A00020787</v>
          </cell>
        </row>
        <row r="113">
          <cell r="H113" t="str">
            <v>M87119424</v>
          </cell>
          <cell r="I113" t="str">
            <v>A00019750</v>
          </cell>
        </row>
        <row r="114">
          <cell r="H114" t="str">
            <v>M87183499</v>
          </cell>
          <cell r="I114" t="str">
            <v>A00023120</v>
          </cell>
        </row>
        <row r="115">
          <cell r="H115" t="str">
            <v>M87163039</v>
          </cell>
          <cell r="I115" t="str">
            <v>A00023330</v>
          </cell>
        </row>
        <row r="116">
          <cell r="H116" t="str">
            <v>M87192277</v>
          </cell>
          <cell r="I116" t="str">
            <v>A00014830</v>
          </cell>
        </row>
        <row r="117">
          <cell r="H117" t="str">
            <v>M87129912</v>
          </cell>
          <cell r="I117" t="str">
            <v>A00014522</v>
          </cell>
        </row>
        <row r="118">
          <cell r="H118" t="str">
            <v>M87151809</v>
          </cell>
          <cell r="I118" t="str">
            <v>A00001181</v>
          </cell>
        </row>
        <row r="119">
          <cell r="H119" t="str">
            <v>M87148423</v>
          </cell>
          <cell r="I119" t="str">
            <v>A00027119</v>
          </cell>
        </row>
        <row r="120">
          <cell r="H120" t="str">
            <v>M87141241</v>
          </cell>
          <cell r="I120" t="str">
            <v>A00022490</v>
          </cell>
        </row>
        <row r="121">
          <cell r="H121" t="str">
            <v>M87145254</v>
          </cell>
          <cell r="I121" t="str">
            <v>A00025969</v>
          </cell>
        </row>
        <row r="122">
          <cell r="H122" t="str">
            <v>M87163018</v>
          </cell>
          <cell r="I122" t="str">
            <v>A00016197</v>
          </cell>
        </row>
        <row r="123">
          <cell r="H123" t="str">
            <v>M87139588</v>
          </cell>
          <cell r="I123" t="str">
            <v>A00015648</v>
          </cell>
        </row>
        <row r="124">
          <cell r="H124" t="str">
            <v>M87163031</v>
          </cell>
          <cell r="I124" t="str">
            <v>A00024568</v>
          </cell>
        </row>
        <row r="125">
          <cell r="H125" t="str">
            <v>M87107842</v>
          </cell>
          <cell r="I125" t="str">
            <v>A00000541</v>
          </cell>
        </row>
        <row r="126">
          <cell r="H126" t="str">
            <v>M87101199</v>
          </cell>
          <cell r="I126" t="str">
            <v>A00023246</v>
          </cell>
        </row>
        <row r="127">
          <cell r="H127" t="str">
            <v>M87169368</v>
          </cell>
          <cell r="I127" t="str">
            <v>A00028408</v>
          </cell>
        </row>
        <row r="128">
          <cell r="H128" t="str">
            <v>M87188480</v>
          </cell>
          <cell r="I128" t="str">
            <v>A00028052</v>
          </cell>
        </row>
        <row r="129">
          <cell r="H129" t="str">
            <v>M87162516</v>
          </cell>
          <cell r="I129" t="str">
            <v>A00014607</v>
          </cell>
        </row>
        <row r="130">
          <cell r="H130" t="str">
            <v>M87187448</v>
          </cell>
          <cell r="I130" t="str">
            <v>A00021591</v>
          </cell>
        </row>
        <row r="131">
          <cell r="H131" t="str">
            <v>M87140707</v>
          </cell>
          <cell r="I131" t="str">
            <v>A00027487</v>
          </cell>
        </row>
        <row r="132">
          <cell r="H132" t="str">
            <v>M87141611</v>
          </cell>
          <cell r="I132" t="str">
            <v>A00023750</v>
          </cell>
        </row>
        <row r="133">
          <cell r="H133" t="str">
            <v>M87139409</v>
          </cell>
          <cell r="I133" t="str">
            <v>A00011107</v>
          </cell>
        </row>
        <row r="134">
          <cell r="H134" t="str">
            <v>M87165947</v>
          </cell>
          <cell r="I134" t="str">
            <v>A00021081</v>
          </cell>
        </row>
        <row r="135">
          <cell r="H135" t="str">
            <v>M87155773</v>
          </cell>
          <cell r="I135" t="str">
            <v>A00022653</v>
          </cell>
        </row>
        <row r="136">
          <cell r="H136" t="str">
            <v>M87181393</v>
          </cell>
          <cell r="I136" t="str">
            <v>A00003150</v>
          </cell>
        </row>
        <row r="137">
          <cell r="H137" t="str">
            <v>M87107537</v>
          </cell>
          <cell r="I137" t="str">
            <v>A00009656</v>
          </cell>
        </row>
        <row r="138">
          <cell r="H138" t="str">
            <v>M87148415</v>
          </cell>
          <cell r="I138" t="str">
            <v>A00014636</v>
          </cell>
        </row>
        <row r="139">
          <cell r="H139" t="str">
            <v>M87111655</v>
          </cell>
          <cell r="I139" t="str">
            <v>A00013363</v>
          </cell>
        </row>
        <row r="140">
          <cell r="H140" t="str">
            <v>M87161790</v>
          </cell>
          <cell r="I140" t="str">
            <v>A00024663</v>
          </cell>
        </row>
        <row r="141">
          <cell r="H141" t="str">
            <v>M87110616</v>
          </cell>
          <cell r="I141" t="str">
            <v>A00004507</v>
          </cell>
        </row>
        <row r="142">
          <cell r="H142" t="str">
            <v>M87159255</v>
          </cell>
          <cell r="I142" t="str">
            <v>A00014120</v>
          </cell>
        </row>
        <row r="143">
          <cell r="H143" t="str">
            <v>M87152869</v>
          </cell>
          <cell r="I143" t="str">
            <v>A00023243</v>
          </cell>
        </row>
        <row r="144">
          <cell r="H144" t="str">
            <v>M87119125</v>
          </cell>
          <cell r="I144" t="str">
            <v>A00013216</v>
          </cell>
        </row>
        <row r="145">
          <cell r="H145" t="str">
            <v>M87113425</v>
          </cell>
          <cell r="I145" t="str">
            <v>A00011725</v>
          </cell>
        </row>
        <row r="146">
          <cell r="H146" t="str">
            <v>M87110738</v>
          </cell>
          <cell r="I146" t="str">
            <v>A00026945</v>
          </cell>
        </row>
        <row r="147">
          <cell r="H147" t="str">
            <v>M87122904</v>
          </cell>
          <cell r="I147" t="str">
            <v>A00021085</v>
          </cell>
        </row>
      </sheetData>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blurRad="63500" dist="38099" dir="2700000" algn="ctr" rotWithShape="0">
                  <a:srgbClr val="000000">
                    <a:alpha val="74998"/>
                  </a:srgbClr>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7"/>
  <sheetViews>
    <sheetView topLeftCell="A124" workbookViewId="0">
      <selection activeCell="A147" sqref="A147"/>
    </sheetView>
  </sheetViews>
  <sheetFormatPr baseColWidth="10" defaultRowHeight="13" x14ac:dyDescent="0.15"/>
  <sheetData>
    <row r="1" spans="1:2" x14ac:dyDescent="0.15">
      <c r="A1" t="s">
        <v>42</v>
      </c>
      <c r="B1" t="s">
        <v>805</v>
      </c>
    </row>
    <row r="2" spans="1:2" x14ac:dyDescent="0.15">
      <c r="A2" t="s">
        <v>127</v>
      </c>
      <c r="B2" t="s">
        <v>806</v>
      </c>
    </row>
    <row r="3" spans="1:2" x14ac:dyDescent="0.15">
      <c r="A3" t="s">
        <v>133</v>
      </c>
      <c r="B3" t="s">
        <v>807</v>
      </c>
    </row>
    <row r="4" spans="1:2" x14ac:dyDescent="0.15">
      <c r="A4" t="s">
        <v>131</v>
      </c>
      <c r="B4" t="s">
        <v>808</v>
      </c>
    </row>
    <row r="5" spans="1:2" x14ac:dyDescent="0.15">
      <c r="A5" t="s">
        <v>44</v>
      </c>
      <c r="B5" t="s">
        <v>809</v>
      </c>
    </row>
    <row r="6" spans="1:2" x14ac:dyDescent="0.15">
      <c r="A6" t="s">
        <v>108</v>
      </c>
      <c r="B6" t="s">
        <v>810</v>
      </c>
    </row>
    <row r="7" spans="1:2" x14ac:dyDescent="0.15">
      <c r="A7" t="s">
        <v>54</v>
      </c>
      <c r="B7" t="s">
        <v>811</v>
      </c>
    </row>
    <row r="8" spans="1:2" x14ac:dyDescent="0.15">
      <c r="A8" t="s">
        <v>106</v>
      </c>
      <c r="B8" t="s">
        <v>812</v>
      </c>
    </row>
    <row r="9" spans="1:2" x14ac:dyDescent="0.15">
      <c r="A9" t="s">
        <v>73</v>
      </c>
      <c r="B9" t="s">
        <v>813</v>
      </c>
    </row>
    <row r="10" spans="1:2" x14ac:dyDescent="0.15">
      <c r="A10" t="s">
        <v>82</v>
      </c>
      <c r="B10" t="s">
        <v>814</v>
      </c>
    </row>
    <row r="11" spans="1:2" x14ac:dyDescent="0.15">
      <c r="A11" t="s">
        <v>114</v>
      </c>
      <c r="B11" t="s">
        <v>815</v>
      </c>
    </row>
    <row r="12" spans="1:2" x14ac:dyDescent="0.15">
      <c r="A12" t="s">
        <v>137</v>
      </c>
      <c r="B12" t="s">
        <v>816</v>
      </c>
    </row>
    <row r="13" spans="1:2" x14ac:dyDescent="0.15">
      <c r="A13" t="s">
        <v>79</v>
      </c>
      <c r="B13" t="s">
        <v>817</v>
      </c>
    </row>
    <row r="14" spans="1:2" x14ac:dyDescent="0.15">
      <c r="A14" t="s">
        <v>262</v>
      </c>
      <c r="B14" t="s">
        <v>818</v>
      </c>
    </row>
    <row r="15" spans="1:2" x14ac:dyDescent="0.15">
      <c r="A15" t="s">
        <v>270</v>
      </c>
      <c r="B15" t="s">
        <v>819</v>
      </c>
    </row>
    <row r="16" spans="1:2" x14ac:dyDescent="0.15">
      <c r="A16" t="s">
        <v>77</v>
      </c>
      <c r="B16" t="s">
        <v>820</v>
      </c>
    </row>
    <row r="17" spans="1:2" x14ac:dyDescent="0.15">
      <c r="A17" t="s">
        <v>84</v>
      </c>
      <c r="B17" t="s">
        <v>821</v>
      </c>
    </row>
    <row r="18" spans="1:2" x14ac:dyDescent="0.15">
      <c r="A18" t="s">
        <v>307</v>
      </c>
      <c r="B18" t="s">
        <v>822</v>
      </c>
    </row>
    <row r="19" spans="1:2" x14ac:dyDescent="0.15">
      <c r="A19" t="s">
        <v>279</v>
      </c>
      <c r="B19" t="s">
        <v>823</v>
      </c>
    </row>
    <row r="20" spans="1:2" x14ac:dyDescent="0.15">
      <c r="A20" t="s">
        <v>197</v>
      </c>
      <c r="B20" t="s">
        <v>824</v>
      </c>
    </row>
    <row r="21" spans="1:2" x14ac:dyDescent="0.15">
      <c r="A21" t="s">
        <v>63</v>
      </c>
      <c r="B21" t="s">
        <v>825</v>
      </c>
    </row>
    <row r="22" spans="1:2" x14ac:dyDescent="0.15">
      <c r="A22" t="s">
        <v>141</v>
      </c>
      <c r="B22" t="s">
        <v>826</v>
      </c>
    </row>
    <row r="23" spans="1:2" x14ac:dyDescent="0.15">
      <c r="A23" t="s">
        <v>199</v>
      </c>
      <c r="B23" t="s">
        <v>827</v>
      </c>
    </row>
    <row r="24" spans="1:2" x14ac:dyDescent="0.15">
      <c r="A24" t="s">
        <v>281</v>
      </c>
      <c r="B24" t="s">
        <v>828</v>
      </c>
    </row>
    <row r="25" spans="1:2" x14ac:dyDescent="0.15">
      <c r="A25" t="s">
        <v>104</v>
      </c>
      <c r="B25" t="s">
        <v>829</v>
      </c>
    </row>
    <row r="26" spans="1:2" x14ac:dyDescent="0.15">
      <c r="A26" t="s">
        <v>259</v>
      </c>
      <c r="B26" t="s">
        <v>830</v>
      </c>
    </row>
    <row r="27" spans="1:2" x14ac:dyDescent="0.15">
      <c r="A27" t="s">
        <v>276</v>
      </c>
      <c r="B27" t="s">
        <v>831</v>
      </c>
    </row>
    <row r="28" spans="1:2" x14ac:dyDescent="0.15">
      <c r="A28" t="s">
        <v>110</v>
      </c>
      <c r="B28" t="s">
        <v>832</v>
      </c>
    </row>
    <row r="29" spans="1:2" x14ac:dyDescent="0.15">
      <c r="A29" t="s">
        <v>59</v>
      </c>
      <c r="B29" t="s">
        <v>833</v>
      </c>
    </row>
    <row r="30" spans="1:2" x14ac:dyDescent="0.15">
      <c r="A30" t="s">
        <v>261</v>
      </c>
      <c r="B30" t="s">
        <v>834</v>
      </c>
    </row>
    <row r="31" spans="1:2" x14ac:dyDescent="0.15">
      <c r="A31" t="s">
        <v>255</v>
      </c>
      <c r="B31" t="s">
        <v>835</v>
      </c>
    </row>
    <row r="32" spans="1:2" x14ac:dyDescent="0.15">
      <c r="A32" t="s">
        <v>34</v>
      </c>
      <c r="B32" t="s">
        <v>836</v>
      </c>
    </row>
    <row r="33" spans="1:2" x14ac:dyDescent="0.15">
      <c r="A33" t="s">
        <v>179</v>
      </c>
      <c r="B33" t="s">
        <v>837</v>
      </c>
    </row>
    <row r="34" spans="1:2" x14ac:dyDescent="0.15">
      <c r="A34" t="s">
        <v>36</v>
      </c>
      <c r="B34" t="s">
        <v>838</v>
      </c>
    </row>
    <row r="35" spans="1:2" x14ac:dyDescent="0.15">
      <c r="A35" t="s">
        <v>299</v>
      </c>
      <c r="B35" t="s">
        <v>839</v>
      </c>
    </row>
    <row r="36" spans="1:2" x14ac:dyDescent="0.15">
      <c r="A36" t="s">
        <v>250</v>
      </c>
      <c r="B36" t="s">
        <v>840</v>
      </c>
    </row>
    <row r="37" spans="1:2" x14ac:dyDescent="0.15">
      <c r="A37" t="s">
        <v>120</v>
      </c>
      <c r="B37" t="s">
        <v>841</v>
      </c>
    </row>
    <row r="38" spans="1:2" x14ac:dyDescent="0.15">
      <c r="A38" t="s">
        <v>301</v>
      </c>
      <c r="B38" t="s">
        <v>842</v>
      </c>
    </row>
    <row r="39" spans="1:2" x14ac:dyDescent="0.15">
      <c r="A39" t="s">
        <v>118</v>
      </c>
      <c r="B39" t="s">
        <v>843</v>
      </c>
    </row>
    <row r="40" spans="1:2" x14ac:dyDescent="0.15">
      <c r="A40" t="s">
        <v>100</v>
      </c>
      <c r="B40" t="s">
        <v>844</v>
      </c>
    </row>
    <row r="41" spans="1:2" x14ac:dyDescent="0.15">
      <c r="A41" t="s">
        <v>88</v>
      </c>
      <c r="B41" t="s">
        <v>845</v>
      </c>
    </row>
    <row r="42" spans="1:2" x14ac:dyDescent="0.15">
      <c r="A42" t="s">
        <v>94</v>
      </c>
      <c r="B42" t="s">
        <v>846</v>
      </c>
    </row>
    <row r="43" spans="1:2" x14ac:dyDescent="0.15">
      <c r="A43" t="s">
        <v>237</v>
      </c>
      <c r="B43" t="s">
        <v>847</v>
      </c>
    </row>
    <row r="44" spans="1:2" x14ac:dyDescent="0.15">
      <c r="A44" t="s">
        <v>112</v>
      </c>
      <c r="B44" t="s">
        <v>848</v>
      </c>
    </row>
    <row r="45" spans="1:2" x14ac:dyDescent="0.15">
      <c r="A45" t="s">
        <v>203</v>
      </c>
      <c r="B45" t="s">
        <v>849</v>
      </c>
    </row>
    <row r="46" spans="1:2" x14ac:dyDescent="0.15">
      <c r="A46" t="s">
        <v>153</v>
      </c>
      <c r="B46" t="s">
        <v>850</v>
      </c>
    </row>
    <row r="47" spans="1:2" x14ac:dyDescent="0.15">
      <c r="A47" t="s">
        <v>69</v>
      </c>
      <c r="B47" t="s">
        <v>851</v>
      </c>
    </row>
    <row r="48" spans="1:2" x14ac:dyDescent="0.15">
      <c r="A48" t="s">
        <v>252</v>
      </c>
      <c r="B48" t="s">
        <v>852</v>
      </c>
    </row>
    <row r="49" spans="1:2" x14ac:dyDescent="0.15">
      <c r="A49" t="s">
        <v>149</v>
      </c>
      <c r="B49" t="s">
        <v>853</v>
      </c>
    </row>
    <row r="50" spans="1:2" x14ac:dyDescent="0.15">
      <c r="A50" t="s">
        <v>241</v>
      </c>
      <c r="B50" t="s">
        <v>854</v>
      </c>
    </row>
    <row r="51" spans="1:2" x14ac:dyDescent="0.15">
      <c r="A51" t="s">
        <v>247</v>
      </c>
      <c r="B51" t="s">
        <v>855</v>
      </c>
    </row>
    <row r="52" spans="1:2" x14ac:dyDescent="0.15">
      <c r="A52" t="s">
        <v>245</v>
      </c>
      <c r="B52" t="s">
        <v>856</v>
      </c>
    </row>
    <row r="53" spans="1:2" x14ac:dyDescent="0.15">
      <c r="A53" t="s">
        <v>233</v>
      </c>
      <c r="B53" t="s">
        <v>857</v>
      </c>
    </row>
    <row r="54" spans="1:2" x14ac:dyDescent="0.15">
      <c r="A54" t="s">
        <v>231</v>
      </c>
      <c r="B54" t="s">
        <v>858</v>
      </c>
    </row>
    <row r="55" spans="1:2" x14ac:dyDescent="0.15">
      <c r="A55" t="s">
        <v>227</v>
      </c>
      <c r="B55" t="s">
        <v>859</v>
      </c>
    </row>
    <row r="56" spans="1:2" x14ac:dyDescent="0.15">
      <c r="A56" t="s">
        <v>220</v>
      </c>
      <c r="B56" t="s">
        <v>860</v>
      </c>
    </row>
    <row r="57" spans="1:2" x14ac:dyDescent="0.15">
      <c r="A57" t="s">
        <v>174</v>
      </c>
      <c r="B57" t="s">
        <v>861</v>
      </c>
    </row>
    <row r="58" spans="1:2" x14ac:dyDescent="0.15">
      <c r="A58" t="s">
        <v>211</v>
      </c>
      <c r="B58" t="s">
        <v>862</v>
      </c>
    </row>
    <row r="59" spans="1:2" x14ac:dyDescent="0.15">
      <c r="A59" t="s">
        <v>56</v>
      </c>
      <c r="B59" t="s">
        <v>863</v>
      </c>
    </row>
    <row r="60" spans="1:2" x14ac:dyDescent="0.15">
      <c r="A60" t="s">
        <v>58</v>
      </c>
      <c r="B60" t="s">
        <v>864</v>
      </c>
    </row>
    <row r="61" spans="1:2" x14ac:dyDescent="0.15">
      <c r="A61" t="s">
        <v>208</v>
      </c>
      <c r="B61" t="s">
        <v>865</v>
      </c>
    </row>
    <row r="62" spans="1:2" x14ac:dyDescent="0.15">
      <c r="A62" t="s">
        <v>303</v>
      </c>
      <c r="B62" t="s">
        <v>866</v>
      </c>
    </row>
    <row r="63" spans="1:2" x14ac:dyDescent="0.15">
      <c r="A63" t="s">
        <v>201</v>
      </c>
      <c r="B63" t="s">
        <v>867</v>
      </c>
    </row>
    <row r="64" spans="1:2" x14ac:dyDescent="0.15">
      <c r="A64" t="s">
        <v>46</v>
      </c>
      <c r="B64" t="s">
        <v>868</v>
      </c>
    </row>
    <row r="65" spans="1:2" x14ac:dyDescent="0.15">
      <c r="A65" t="s">
        <v>189</v>
      </c>
      <c r="B65" t="s">
        <v>869</v>
      </c>
    </row>
    <row r="66" spans="1:2" x14ac:dyDescent="0.15">
      <c r="A66" t="s">
        <v>183</v>
      </c>
      <c r="B66" t="s">
        <v>870</v>
      </c>
    </row>
    <row r="67" spans="1:2" x14ac:dyDescent="0.15">
      <c r="A67" t="s">
        <v>182</v>
      </c>
      <c r="B67" t="s">
        <v>871</v>
      </c>
    </row>
    <row r="68" spans="1:2" x14ac:dyDescent="0.15">
      <c r="A68" t="s">
        <v>185</v>
      </c>
      <c r="B68" t="s">
        <v>872</v>
      </c>
    </row>
    <row r="69" spans="1:2" x14ac:dyDescent="0.15">
      <c r="A69" t="s">
        <v>180</v>
      </c>
      <c r="B69" t="s">
        <v>873</v>
      </c>
    </row>
    <row r="70" spans="1:2" x14ac:dyDescent="0.15">
      <c r="A70" t="s">
        <v>803</v>
      </c>
      <c r="B70" t="s">
        <v>874</v>
      </c>
    </row>
    <row r="71" spans="1:2" x14ac:dyDescent="0.15">
      <c r="A71" t="s">
        <v>147</v>
      </c>
      <c r="B71" t="s">
        <v>875</v>
      </c>
    </row>
    <row r="72" spans="1:2" x14ac:dyDescent="0.15">
      <c r="A72" t="s">
        <v>171</v>
      </c>
      <c r="B72" t="s">
        <v>876</v>
      </c>
    </row>
    <row r="73" spans="1:2" x14ac:dyDescent="0.15">
      <c r="A73" t="s">
        <v>145</v>
      </c>
      <c r="B73" t="s">
        <v>877</v>
      </c>
    </row>
    <row r="74" spans="1:2" x14ac:dyDescent="0.15">
      <c r="A74" t="s">
        <v>295</v>
      </c>
      <c r="B74" t="s">
        <v>878</v>
      </c>
    </row>
    <row r="75" spans="1:2" x14ac:dyDescent="0.15">
      <c r="A75" t="s">
        <v>157</v>
      </c>
      <c r="B75" t="s">
        <v>879</v>
      </c>
    </row>
    <row r="76" spans="1:2" x14ac:dyDescent="0.15">
      <c r="A76" t="s">
        <v>305</v>
      </c>
      <c r="B76" t="s">
        <v>880</v>
      </c>
    </row>
    <row r="77" spans="1:2" x14ac:dyDescent="0.15">
      <c r="A77" t="s">
        <v>163</v>
      </c>
      <c r="B77" t="s">
        <v>881</v>
      </c>
    </row>
    <row r="78" spans="1:2" x14ac:dyDescent="0.15">
      <c r="A78" t="s">
        <v>161</v>
      </c>
      <c r="B78" t="s">
        <v>882</v>
      </c>
    </row>
    <row r="79" spans="1:2" x14ac:dyDescent="0.15">
      <c r="A79" t="s">
        <v>169</v>
      </c>
      <c r="B79" t="s">
        <v>883</v>
      </c>
    </row>
    <row r="80" spans="1:2" x14ac:dyDescent="0.15">
      <c r="A80" t="s">
        <v>159</v>
      </c>
      <c r="B80" t="s">
        <v>884</v>
      </c>
    </row>
    <row r="81" spans="1:2" x14ac:dyDescent="0.15">
      <c r="A81" t="s">
        <v>165</v>
      </c>
      <c r="B81" t="s">
        <v>885</v>
      </c>
    </row>
    <row r="82" spans="1:2" x14ac:dyDescent="0.15">
      <c r="A82" t="s">
        <v>167</v>
      </c>
      <c r="B82" t="s">
        <v>886</v>
      </c>
    </row>
    <row r="83" spans="1:2" x14ac:dyDescent="0.15">
      <c r="A83" t="s">
        <v>804</v>
      </c>
      <c r="B83" t="s">
        <v>887</v>
      </c>
    </row>
    <row r="84" spans="1:2" x14ac:dyDescent="0.15">
      <c r="A84" t="s">
        <v>98</v>
      </c>
      <c r="B84" t="s">
        <v>888</v>
      </c>
    </row>
    <row r="85" spans="1:2" x14ac:dyDescent="0.15">
      <c r="A85" t="s">
        <v>67</v>
      </c>
      <c r="B85" t="s">
        <v>889</v>
      </c>
    </row>
    <row r="86" spans="1:2" x14ac:dyDescent="0.15">
      <c r="A86" t="s">
        <v>257</v>
      </c>
      <c r="B86" t="s">
        <v>890</v>
      </c>
    </row>
    <row r="87" spans="1:2" x14ac:dyDescent="0.15">
      <c r="A87" t="s">
        <v>235</v>
      </c>
      <c r="B87" t="s">
        <v>891</v>
      </c>
    </row>
    <row r="88" spans="1:2" x14ac:dyDescent="0.15">
      <c r="A88" t="s">
        <v>61</v>
      </c>
      <c r="B88" t="s">
        <v>892</v>
      </c>
    </row>
    <row r="89" spans="1:2" x14ac:dyDescent="0.15">
      <c r="A89" t="s">
        <v>129</v>
      </c>
      <c r="B89" t="s">
        <v>893</v>
      </c>
    </row>
    <row r="90" spans="1:2" x14ac:dyDescent="0.15">
      <c r="A90" t="s">
        <v>229</v>
      </c>
      <c r="B90" t="s">
        <v>894</v>
      </c>
    </row>
    <row r="91" spans="1:2" x14ac:dyDescent="0.15">
      <c r="A91" t="s">
        <v>239</v>
      </c>
      <c r="B91" t="s">
        <v>895</v>
      </c>
    </row>
    <row r="92" spans="1:2" x14ac:dyDescent="0.15">
      <c r="A92" t="s">
        <v>86</v>
      </c>
      <c r="B92" t="s">
        <v>896</v>
      </c>
    </row>
    <row r="93" spans="1:2" x14ac:dyDescent="0.15">
      <c r="A93" t="s">
        <v>193</v>
      </c>
      <c r="B93" t="s">
        <v>897</v>
      </c>
    </row>
    <row r="94" spans="1:2" x14ac:dyDescent="0.15">
      <c r="A94" t="s">
        <v>90</v>
      </c>
      <c r="B94" t="s">
        <v>898</v>
      </c>
    </row>
    <row r="95" spans="1:2" x14ac:dyDescent="0.15">
      <c r="A95" t="s">
        <v>289</v>
      </c>
      <c r="B95" t="s">
        <v>899</v>
      </c>
    </row>
    <row r="96" spans="1:2" x14ac:dyDescent="0.15">
      <c r="A96" t="s">
        <v>40</v>
      </c>
      <c r="B96" t="s">
        <v>900</v>
      </c>
    </row>
    <row r="97" spans="1:2" x14ac:dyDescent="0.15">
      <c r="A97" t="s">
        <v>155</v>
      </c>
      <c r="B97" t="s">
        <v>901</v>
      </c>
    </row>
    <row r="98" spans="1:2" x14ac:dyDescent="0.15">
      <c r="A98" t="s">
        <v>116</v>
      </c>
      <c r="B98" t="s">
        <v>902</v>
      </c>
    </row>
    <row r="99" spans="1:2" x14ac:dyDescent="0.15">
      <c r="A99" t="s">
        <v>151</v>
      </c>
      <c r="B99" t="s">
        <v>903</v>
      </c>
    </row>
    <row r="100" spans="1:2" x14ac:dyDescent="0.15">
      <c r="A100" t="s">
        <v>81</v>
      </c>
      <c r="B100" t="s">
        <v>904</v>
      </c>
    </row>
    <row r="101" spans="1:2" x14ac:dyDescent="0.15">
      <c r="A101" t="s">
        <v>50</v>
      </c>
      <c r="B101" t="s">
        <v>905</v>
      </c>
    </row>
    <row r="102" spans="1:2" x14ac:dyDescent="0.15">
      <c r="A102" t="s">
        <v>176</v>
      </c>
      <c r="B102" t="s">
        <v>906</v>
      </c>
    </row>
    <row r="103" spans="1:2" x14ac:dyDescent="0.15">
      <c r="A103" t="s">
        <v>96</v>
      </c>
      <c r="B103" t="s">
        <v>907</v>
      </c>
    </row>
    <row r="104" spans="1:2" x14ac:dyDescent="0.15">
      <c r="A104" t="s">
        <v>186</v>
      </c>
      <c r="B104" t="s">
        <v>908</v>
      </c>
    </row>
    <row r="105" spans="1:2" x14ac:dyDescent="0.15">
      <c r="A105" t="s">
        <v>32</v>
      </c>
      <c r="B105" t="s">
        <v>909</v>
      </c>
    </row>
    <row r="106" spans="1:2" x14ac:dyDescent="0.15">
      <c r="A106" t="s">
        <v>75</v>
      </c>
      <c r="B106" t="s">
        <v>910</v>
      </c>
    </row>
    <row r="107" spans="1:2" x14ac:dyDescent="0.15">
      <c r="A107" t="s">
        <v>278</v>
      </c>
      <c r="B107" t="s">
        <v>911</v>
      </c>
    </row>
    <row r="108" spans="1:2" x14ac:dyDescent="0.15">
      <c r="A108" t="s">
        <v>102</v>
      </c>
      <c r="B108" t="s">
        <v>912</v>
      </c>
    </row>
    <row r="109" spans="1:2" x14ac:dyDescent="0.15">
      <c r="A109" t="s">
        <v>37</v>
      </c>
      <c r="B109" t="s">
        <v>913</v>
      </c>
    </row>
    <row r="110" spans="1:2" x14ac:dyDescent="0.15">
      <c r="A110" t="s">
        <v>125</v>
      </c>
      <c r="B110" t="s">
        <v>914</v>
      </c>
    </row>
    <row r="111" spans="1:2" x14ac:dyDescent="0.15">
      <c r="A111" t="s">
        <v>264</v>
      </c>
      <c r="B111" t="s">
        <v>915</v>
      </c>
    </row>
    <row r="112" spans="1:2" x14ac:dyDescent="0.15">
      <c r="A112" t="s">
        <v>39</v>
      </c>
      <c r="B112" t="s">
        <v>916</v>
      </c>
    </row>
    <row r="113" spans="1:2" x14ac:dyDescent="0.15">
      <c r="A113" t="s">
        <v>212</v>
      </c>
      <c r="B113" t="s">
        <v>917</v>
      </c>
    </row>
    <row r="114" spans="1:2" x14ac:dyDescent="0.15">
      <c r="A114" t="s">
        <v>268</v>
      </c>
      <c r="B114" t="s">
        <v>918</v>
      </c>
    </row>
    <row r="115" spans="1:2" x14ac:dyDescent="0.15">
      <c r="A115" t="s">
        <v>178</v>
      </c>
      <c r="B115" t="s">
        <v>919</v>
      </c>
    </row>
    <row r="116" spans="1:2" x14ac:dyDescent="0.15">
      <c r="A116" t="s">
        <v>209</v>
      </c>
      <c r="B116" t="s">
        <v>920</v>
      </c>
    </row>
    <row r="117" spans="1:2" x14ac:dyDescent="0.15">
      <c r="A117" t="s">
        <v>135</v>
      </c>
      <c r="B117" t="s">
        <v>921</v>
      </c>
    </row>
    <row r="118" spans="1:2" x14ac:dyDescent="0.15">
      <c r="A118" t="s">
        <v>297</v>
      </c>
      <c r="B118" t="s">
        <v>922</v>
      </c>
    </row>
    <row r="119" spans="1:2" x14ac:dyDescent="0.15">
      <c r="A119" t="s">
        <v>243</v>
      </c>
      <c r="B119" t="s">
        <v>923</v>
      </c>
    </row>
    <row r="120" spans="1:2" x14ac:dyDescent="0.15">
      <c r="A120" t="s">
        <v>218</v>
      </c>
      <c r="B120" t="s">
        <v>924</v>
      </c>
    </row>
    <row r="121" spans="1:2" x14ac:dyDescent="0.15">
      <c r="A121" t="s">
        <v>266</v>
      </c>
      <c r="B121" t="s">
        <v>925</v>
      </c>
    </row>
    <row r="122" spans="1:2" x14ac:dyDescent="0.15">
      <c r="A122" t="s">
        <v>122</v>
      </c>
      <c r="B122" t="s">
        <v>926</v>
      </c>
    </row>
    <row r="123" spans="1:2" x14ac:dyDescent="0.15">
      <c r="A123" t="s">
        <v>225</v>
      </c>
      <c r="B123" t="s">
        <v>927</v>
      </c>
    </row>
    <row r="124" spans="1:2" x14ac:dyDescent="0.15">
      <c r="A124" t="s">
        <v>287</v>
      </c>
      <c r="B124" t="s">
        <v>928</v>
      </c>
    </row>
    <row r="125" spans="1:2" x14ac:dyDescent="0.15">
      <c r="A125" t="s">
        <v>272</v>
      </c>
      <c r="B125" t="s">
        <v>929</v>
      </c>
    </row>
    <row r="126" spans="1:2" x14ac:dyDescent="0.15">
      <c r="A126" t="s">
        <v>92</v>
      </c>
      <c r="B126" t="s">
        <v>930</v>
      </c>
    </row>
    <row r="127" spans="1:2" x14ac:dyDescent="0.15">
      <c r="A127" t="s">
        <v>285</v>
      </c>
      <c r="B127" t="s">
        <v>931</v>
      </c>
    </row>
    <row r="128" spans="1:2" x14ac:dyDescent="0.15">
      <c r="A128" t="s">
        <v>188</v>
      </c>
      <c r="B128" t="s">
        <v>932</v>
      </c>
    </row>
    <row r="129" spans="1:2" x14ac:dyDescent="0.15">
      <c r="A129" t="s">
        <v>195</v>
      </c>
      <c r="B129" t="s">
        <v>933</v>
      </c>
    </row>
    <row r="130" spans="1:2" x14ac:dyDescent="0.15">
      <c r="A130" t="s">
        <v>223</v>
      </c>
      <c r="B130" t="s">
        <v>934</v>
      </c>
    </row>
    <row r="131" spans="1:2" x14ac:dyDescent="0.15">
      <c r="A131" t="s">
        <v>274</v>
      </c>
      <c r="B131" t="s">
        <v>935</v>
      </c>
    </row>
    <row r="132" spans="1:2" x14ac:dyDescent="0.15">
      <c r="A132" t="s">
        <v>71</v>
      </c>
      <c r="B132" t="s">
        <v>936</v>
      </c>
    </row>
    <row r="133" spans="1:2" x14ac:dyDescent="0.15">
      <c r="A133" t="s">
        <v>52</v>
      </c>
      <c r="B133" t="s">
        <v>937</v>
      </c>
    </row>
    <row r="134" spans="1:2" x14ac:dyDescent="0.15">
      <c r="A134" t="s">
        <v>253</v>
      </c>
      <c r="B134" t="s">
        <v>938</v>
      </c>
    </row>
    <row r="135" spans="1:2" x14ac:dyDescent="0.15">
      <c r="A135" t="s">
        <v>191</v>
      </c>
      <c r="B135" t="s">
        <v>939</v>
      </c>
    </row>
    <row r="136" spans="1:2" x14ac:dyDescent="0.15">
      <c r="A136" t="s">
        <v>293</v>
      </c>
      <c r="B136" t="s">
        <v>940</v>
      </c>
    </row>
    <row r="137" spans="1:2" x14ac:dyDescent="0.15">
      <c r="A137" t="s">
        <v>48</v>
      </c>
      <c r="B137" t="s">
        <v>941</v>
      </c>
    </row>
    <row r="138" spans="1:2" x14ac:dyDescent="0.15">
      <c r="A138" t="s">
        <v>206</v>
      </c>
      <c r="B138" t="s">
        <v>942</v>
      </c>
    </row>
    <row r="139" spans="1:2" x14ac:dyDescent="0.15">
      <c r="A139" t="s">
        <v>248</v>
      </c>
      <c r="B139" t="s">
        <v>943</v>
      </c>
    </row>
    <row r="140" spans="1:2" x14ac:dyDescent="0.15">
      <c r="A140" t="s">
        <v>283</v>
      </c>
      <c r="B140" t="s">
        <v>944</v>
      </c>
    </row>
    <row r="141" spans="1:2" x14ac:dyDescent="0.15">
      <c r="A141" t="s">
        <v>216</v>
      </c>
      <c r="B141" t="s">
        <v>945</v>
      </c>
    </row>
    <row r="142" spans="1:2" x14ac:dyDescent="0.15">
      <c r="A142" t="s">
        <v>65</v>
      </c>
      <c r="B142" t="s">
        <v>946</v>
      </c>
    </row>
    <row r="143" spans="1:2" x14ac:dyDescent="0.15">
      <c r="A143" t="s">
        <v>139</v>
      </c>
      <c r="B143" t="s">
        <v>947</v>
      </c>
    </row>
    <row r="144" spans="1:2" x14ac:dyDescent="0.15">
      <c r="A144" t="s">
        <v>291</v>
      </c>
      <c r="B144" t="s">
        <v>948</v>
      </c>
    </row>
    <row r="145" spans="1:2" x14ac:dyDescent="0.15">
      <c r="A145" t="s">
        <v>143</v>
      </c>
      <c r="B145" t="s">
        <v>949</v>
      </c>
    </row>
    <row r="146" spans="1:2" x14ac:dyDescent="0.15">
      <c r="A146" t="s">
        <v>221</v>
      </c>
      <c r="B146" t="s">
        <v>950</v>
      </c>
    </row>
    <row r="147" spans="1:2" x14ac:dyDescent="0.15">
      <c r="A147" t="s">
        <v>204</v>
      </c>
      <c r="B147" t="s">
        <v>951</v>
      </c>
    </row>
  </sheetData>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73"/>
  <sheetViews>
    <sheetView zoomScale="90" zoomScaleNormal="90" workbookViewId="0">
      <selection activeCell="D70" sqref="D70"/>
    </sheetView>
  </sheetViews>
  <sheetFormatPr baseColWidth="10" defaultColWidth="11.6640625" defaultRowHeight="13" x14ac:dyDescent="0.15"/>
  <cols>
    <col min="1" max="1" width="11" style="1" customWidth="1"/>
    <col min="2" max="2" width="18.33203125" style="1" customWidth="1"/>
    <col min="3" max="3" width="9.5" style="1" customWidth="1"/>
    <col min="4" max="4" width="23.6640625" style="1" customWidth="1"/>
    <col min="5" max="5" width="19.6640625" style="1" customWidth="1"/>
    <col min="6" max="6" width="10.5" style="1" customWidth="1"/>
    <col min="7" max="7" width="10.6640625" style="1" customWidth="1"/>
    <col min="8" max="8" width="24.1640625" style="1" customWidth="1"/>
    <col min="9" max="9" width="8.6640625" style="1" customWidth="1"/>
    <col min="10" max="10" width="12.6640625" style="1" customWidth="1"/>
    <col min="11" max="11" width="19" style="1" customWidth="1"/>
    <col min="12" max="12" width="12.33203125" style="1" customWidth="1"/>
    <col min="13" max="13" width="30.83203125" style="1" customWidth="1"/>
    <col min="14" max="14" width="24.6640625" style="1" customWidth="1"/>
    <col min="15" max="15" width="38.5" style="1" customWidth="1"/>
    <col min="16" max="16" width="18.5" style="1" customWidth="1"/>
    <col min="17" max="17" width="15.5" style="1" customWidth="1"/>
    <col min="18" max="18" width="9.6640625" style="1" customWidth="1"/>
    <col min="19" max="19" width="12.6640625" style="1" customWidth="1"/>
    <col min="20" max="20" width="9.6640625" style="1" customWidth="1"/>
    <col min="21" max="21" width="23" style="1" customWidth="1"/>
    <col min="22" max="22" width="10.6640625" style="1" customWidth="1"/>
    <col min="23" max="23" width="16" style="1" customWidth="1"/>
    <col min="24" max="24" width="17" style="1" customWidth="1"/>
    <col min="25" max="25" width="22.1640625" style="1" customWidth="1"/>
    <col min="26" max="26" width="12.6640625" style="1" customWidth="1"/>
    <col min="27" max="27" width="12.83203125" style="1" customWidth="1"/>
    <col min="28" max="28" width="25.1640625" style="1" customWidth="1"/>
    <col min="29" max="29" width="19.5" style="1" customWidth="1"/>
    <col min="30" max="30" width="18.5" style="1" customWidth="1"/>
    <col min="31" max="31" width="13" style="1" customWidth="1"/>
    <col min="32" max="32" width="20.6640625" style="1" customWidth="1"/>
    <col min="33" max="16384" width="11.6640625" style="1"/>
  </cols>
  <sheetData>
    <row r="1" spans="1:32"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15">
      <c r="A2" s="1" t="s">
        <v>32</v>
      </c>
      <c r="B2" s="1" t="s">
        <v>33</v>
      </c>
      <c r="C2" s="1">
        <v>3</v>
      </c>
      <c r="D2" s="1">
        <v>1</v>
      </c>
      <c r="E2" s="1">
        <v>3</v>
      </c>
      <c r="F2" s="1">
        <v>2</v>
      </c>
      <c r="G2" s="1">
        <v>1</v>
      </c>
      <c r="H2" s="1">
        <v>5</v>
      </c>
      <c r="I2" s="1">
        <v>1</v>
      </c>
      <c r="J2" s="1">
        <v>3</v>
      </c>
      <c r="K2" s="1">
        <v>1</v>
      </c>
      <c r="L2" s="1">
        <v>1</v>
      </c>
      <c r="M2" s="1">
        <v>1</v>
      </c>
      <c r="N2" s="1">
        <v>1</v>
      </c>
      <c r="O2" s="1">
        <v>1</v>
      </c>
      <c r="P2" s="1">
        <v>1</v>
      </c>
      <c r="Q2" s="1">
        <v>1</v>
      </c>
      <c r="R2" s="1">
        <v>4</v>
      </c>
      <c r="S2" s="1">
        <v>1</v>
      </c>
      <c r="T2" s="1">
        <v>1</v>
      </c>
      <c r="U2" s="1">
        <v>1</v>
      </c>
      <c r="V2" s="1">
        <v>4</v>
      </c>
      <c r="W2" s="1">
        <v>4</v>
      </c>
      <c r="X2" s="1">
        <v>1</v>
      </c>
      <c r="Y2" s="1">
        <v>3</v>
      </c>
      <c r="Z2" s="1">
        <v>1</v>
      </c>
      <c r="AA2" s="1">
        <v>3</v>
      </c>
      <c r="AB2" s="1">
        <v>1</v>
      </c>
      <c r="AC2" s="1">
        <v>4</v>
      </c>
      <c r="AD2" s="1">
        <v>2</v>
      </c>
      <c r="AE2" s="1">
        <v>2</v>
      </c>
      <c r="AF2" s="1">
        <v>1</v>
      </c>
    </row>
    <row r="3" spans="1:32" x14ac:dyDescent="0.15">
      <c r="A3" s="1" t="s">
        <v>34</v>
      </c>
      <c r="B3" s="1" t="s">
        <v>35</v>
      </c>
      <c r="C3" s="1">
        <v>3</v>
      </c>
      <c r="D3" s="1">
        <v>1</v>
      </c>
      <c r="E3" s="1">
        <v>4</v>
      </c>
      <c r="F3" s="1">
        <v>1</v>
      </c>
      <c r="G3" s="1">
        <v>1</v>
      </c>
      <c r="H3" s="1">
        <v>3</v>
      </c>
      <c r="I3" s="1">
        <v>1</v>
      </c>
      <c r="J3" s="1">
        <v>3</v>
      </c>
      <c r="K3" s="1">
        <v>2</v>
      </c>
      <c r="L3" s="1">
        <v>1</v>
      </c>
      <c r="M3" s="1">
        <v>3</v>
      </c>
      <c r="N3" s="1">
        <v>2</v>
      </c>
      <c r="O3" s="1">
        <v>1</v>
      </c>
      <c r="P3" s="1">
        <v>1</v>
      </c>
      <c r="Q3" s="1">
        <v>1</v>
      </c>
      <c r="R3" s="1">
        <v>2</v>
      </c>
      <c r="S3" s="1">
        <v>1</v>
      </c>
      <c r="T3" s="1">
        <v>2</v>
      </c>
      <c r="U3" s="1">
        <v>1</v>
      </c>
      <c r="V3" s="1">
        <v>1</v>
      </c>
      <c r="W3" s="1">
        <v>1</v>
      </c>
      <c r="X3" s="1">
        <v>1</v>
      </c>
      <c r="Y3" s="1">
        <v>1</v>
      </c>
      <c r="Z3" s="1">
        <v>1</v>
      </c>
      <c r="AA3" s="1">
        <v>1</v>
      </c>
      <c r="AB3" s="1">
        <v>1</v>
      </c>
      <c r="AC3" s="1">
        <v>1</v>
      </c>
      <c r="AD3" s="1">
        <v>1</v>
      </c>
      <c r="AE3" s="1">
        <v>1</v>
      </c>
      <c r="AF3" s="1">
        <v>3</v>
      </c>
    </row>
    <row r="4" spans="1:32" x14ac:dyDescent="0.15">
      <c r="A4" s="1" t="s">
        <v>36</v>
      </c>
      <c r="B4" s="1" t="s">
        <v>35</v>
      </c>
      <c r="C4" s="1">
        <v>4</v>
      </c>
      <c r="D4" s="1">
        <v>1</v>
      </c>
      <c r="E4" s="1">
        <v>5</v>
      </c>
      <c r="F4" s="1">
        <v>1</v>
      </c>
      <c r="G4" s="1">
        <v>1</v>
      </c>
      <c r="H4" s="1">
        <v>4</v>
      </c>
      <c r="I4" s="1">
        <v>4</v>
      </c>
      <c r="J4" s="1">
        <v>2</v>
      </c>
      <c r="K4" s="1">
        <v>2</v>
      </c>
      <c r="L4" s="1">
        <v>1</v>
      </c>
      <c r="M4" s="1">
        <v>1</v>
      </c>
      <c r="N4" s="1">
        <v>2</v>
      </c>
      <c r="O4" s="1">
        <v>1</v>
      </c>
      <c r="P4" s="1">
        <v>1</v>
      </c>
      <c r="Q4" s="1">
        <v>1</v>
      </c>
      <c r="R4" s="1">
        <v>3</v>
      </c>
      <c r="S4" s="1">
        <v>1</v>
      </c>
      <c r="T4" s="1">
        <v>1</v>
      </c>
      <c r="U4" s="1">
        <v>1</v>
      </c>
      <c r="V4" s="1">
        <v>2</v>
      </c>
      <c r="W4" s="1">
        <v>1</v>
      </c>
      <c r="X4" s="1">
        <v>1</v>
      </c>
      <c r="Y4" s="1">
        <v>2</v>
      </c>
      <c r="Z4" s="1">
        <v>1</v>
      </c>
      <c r="AA4" s="1">
        <v>3</v>
      </c>
      <c r="AB4" s="1">
        <v>1</v>
      </c>
      <c r="AC4" s="1">
        <v>4</v>
      </c>
      <c r="AD4" s="1">
        <v>3</v>
      </c>
      <c r="AE4" s="1">
        <v>1</v>
      </c>
      <c r="AF4" s="1">
        <v>1</v>
      </c>
    </row>
    <row r="5" spans="1:32" x14ac:dyDescent="0.15">
      <c r="A5" s="1" t="s">
        <v>37</v>
      </c>
      <c r="B5" s="1" t="s">
        <v>38</v>
      </c>
      <c r="C5" s="1">
        <v>1</v>
      </c>
      <c r="D5" s="1">
        <v>1</v>
      </c>
      <c r="E5" s="1">
        <v>1</v>
      </c>
      <c r="F5" s="1">
        <v>1</v>
      </c>
      <c r="G5" s="1">
        <v>1</v>
      </c>
      <c r="H5" s="1">
        <v>4</v>
      </c>
      <c r="I5" s="1">
        <v>2</v>
      </c>
      <c r="J5" s="1">
        <v>1</v>
      </c>
      <c r="K5" s="1">
        <v>1</v>
      </c>
      <c r="L5" s="1">
        <v>1</v>
      </c>
      <c r="M5" s="1">
        <v>1</v>
      </c>
      <c r="N5" s="1">
        <v>1</v>
      </c>
      <c r="O5" s="1">
        <v>1</v>
      </c>
      <c r="P5" s="1">
        <v>2</v>
      </c>
      <c r="Q5" s="1">
        <v>3</v>
      </c>
      <c r="R5" s="1">
        <v>4</v>
      </c>
      <c r="S5" s="1">
        <v>1</v>
      </c>
      <c r="T5" s="1">
        <v>1</v>
      </c>
      <c r="U5" s="1">
        <v>1</v>
      </c>
      <c r="V5" s="1">
        <v>3</v>
      </c>
      <c r="W5" s="1">
        <v>1</v>
      </c>
      <c r="X5" s="1">
        <v>1</v>
      </c>
      <c r="Y5" s="1">
        <v>3</v>
      </c>
      <c r="Z5" s="1">
        <v>1</v>
      </c>
      <c r="AA5" s="1">
        <v>1</v>
      </c>
      <c r="AB5" s="1">
        <v>2</v>
      </c>
      <c r="AC5" s="1">
        <v>1</v>
      </c>
      <c r="AD5" s="1">
        <v>1</v>
      </c>
      <c r="AE5" s="1">
        <v>3</v>
      </c>
      <c r="AF5" s="1">
        <v>1</v>
      </c>
    </row>
    <row r="6" spans="1:32" x14ac:dyDescent="0.15">
      <c r="A6" s="1" t="s">
        <v>39</v>
      </c>
      <c r="B6" s="1" t="s">
        <v>38</v>
      </c>
      <c r="C6" s="1">
        <v>1</v>
      </c>
      <c r="D6" s="1">
        <v>1</v>
      </c>
      <c r="E6" s="1">
        <v>6</v>
      </c>
      <c r="F6" s="1">
        <v>1</v>
      </c>
      <c r="G6" s="1">
        <v>1</v>
      </c>
      <c r="H6" s="1">
        <v>1</v>
      </c>
      <c r="I6" s="1">
        <v>1</v>
      </c>
      <c r="J6" s="1">
        <v>3</v>
      </c>
      <c r="K6" s="1">
        <v>2</v>
      </c>
      <c r="L6" s="1">
        <v>1</v>
      </c>
      <c r="M6" s="1">
        <v>1</v>
      </c>
      <c r="N6" s="1">
        <v>3</v>
      </c>
      <c r="O6" s="1">
        <v>1</v>
      </c>
      <c r="P6" s="1">
        <v>1</v>
      </c>
      <c r="Q6" s="1">
        <v>1</v>
      </c>
      <c r="R6" s="1">
        <v>3</v>
      </c>
      <c r="S6" s="1">
        <v>1</v>
      </c>
      <c r="T6" s="1">
        <v>1</v>
      </c>
      <c r="U6" s="1">
        <v>3</v>
      </c>
      <c r="V6" s="1">
        <v>2</v>
      </c>
      <c r="W6" s="1">
        <v>1</v>
      </c>
      <c r="X6" s="1">
        <v>1</v>
      </c>
      <c r="Y6" s="1">
        <v>1</v>
      </c>
      <c r="Z6" s="1">
        <v>1</v>
      </c>
      <c r="AA6" s="1">
        <v>1</v>
      </c>
      <c r="AB6" s="1">
        <v>1</v>
      </c>
      <c r="AC6" s="1">
        <v>1</v>
      </c>
      <c r="AD6" s="1">
        <v>1</v>
      </c>
      <c r="AE6" s="1">
        <v>2</v>
      </c>
      <c r="AF6" s="1">
        <v>1</v>
      </c>
    </row>
    <row r="7" spans="1:32" x14ac:dyDescent="0.15">
      <c r="A7" s="1" t="s">
        <v>40</v>
      </c>
      <c r="B7" s="1" t="s">
        <v>41</v>
      </c>
      <c r="C7" s="1">
        <v>3</v>
      </c>
      <c r="D7" s="1">
        <v>1</v>
      </c>
      <c r="E7" s="1">
        <v>1</v>
      </c>
      <c r="F7" s="1">
        <v>1</v>
      </c>
      <c r="G7" s="1">
        <v>1</v>
      </c>
      <c r="H7" s="1">
        <v>3</v>
      </c>
      <c r="I7" s="1">
        <v>1</v>
      </c>
      <c r="J7" s="1">
        <v>2</v>
      </c>
      <c r="K7" s="1">
        <v>1</v>
      </c>
      <c r="L7" s="1">
        <v>1</v>
      </c>
      <c r="M7" s="1">
        <v>2</v>
      </c>
      <c r="O7" s="1">
        <v>1</v>
      </c>
      <c r="P7" s="1">
        <v>1</v>
      </c>
      <c r="Q7" s="1">
        <v>1</v>
      </c>
      <c r="R7" s="1">
        <v>1</v>
      </c>
      <c r="S7" s="1">
        <v>1</v>
      </c>
      <c r="T7" s="1">
        <v>1</v>
      </c>
      <c r="U7" s="1">
        <v>1</v>
      </c>
      <c r="V7" s="1">
        <v>3</v>
      </c>
      <c r="W7" s="1">
        <v>1</v>
      </c>
      <c r="X7" s="1">
        <v>1</v>
      </c>
      <c r="Y7" s="1">
        <v>1</v>
      </c>
      <c r="Z7" s="1">
        <v>1</v>
      </c>
      <c r="AA7" s="1">
        <v>1</v>
      </c>
      <c r="AB7" s="1">
        <v>3</v>
      </c>
      <c r="AC7" s="1">
        <v>1</v>
      </c>
      <c r="AD7" s="1">
        <v>3</v>
      </c>
      <c r="AE7" s="1">
        <v>1</v>
      </c>
      <c r="AF7" s="1">
        <v>3</v>
      </c>
    </row>
    <row r="8" spans="1:32" x14ac:dyDescent="0.15">
      <c r="A8" s="1" t="s">
        <v>42</v>
      </c>
      <c r="B8" s="1" t="s">
        <v>43</v>
      </c>
      <c r="C8" s="1">
        <v>1</v>
      </c>
      <c r="D8" s="1">
        <v>1</v>
      </c>
      <c r="E8" s="1">
        <v>1</v>
      </c>
      <c r="F8" s="1">
        <v>1</v>
      </c>
      <c r="G8" s="1">
        <v>1</v>
      </c>
      <c r="H8" s="1">
        <v>1</v>
      </c>
      <c r="I8" s="1">
        <v>1</v>
      </c>
      <c r="J8" s="1">
        <v>2</v>
      </c>
      <c r="K8" s="1">
        <v>2</v>
      </c>
      <c r="L8" s="1">
        <v>1</v>
      </c>
      <c r="M8" s="1">
        <v>1</v>
      </c>
      <c r="N8" s="1">
        <v>1</v>
      </c>
      <c r="O8" s="1">
        <v>2</v>
      </c>
      <c r="P8" s="1">
        <v>1</v>
      </c>
      <c r="Q8" s="1">
        <v>2</v>
      </c>
      <c r="R8" s="1">
        <v>2</v>
      </c>
      <c r="S8" s="1">
        <v>2</v>
      </c>
      <c r="T8" s="1">
        <v>1</v>
      </c>
      <c r="U8" s="1">
        <v>1</v>
      </c>
      <c r="V8" s="1">
        <v>1</v>
      </c>
      <c r="W8" s="1">
        <v>1</v>
      </c>
      <c r="X8" s="1">
        <v>1</v>
      </c>
      <c r="Y8" s="1">
        <v>3</v>
      </c>
      <c r="Z8" s="1">
        <v>1</v>
      </c>
      <c r="AA8" s="1">
        <v>3</v>
      </c>
      <c r="AB8" s="1">
        <v>1</v>
      </c>
      <c r="AC8" s="1">
        <v>1</v>
      </c>
      <c r="AD8" s="1">
        <v>1</v>
      </c>
      <c r="AE8" s="1">
        <v>2</v>
      </c>
      <c r="AF8" s="1">
        <v>1</v>
      </c>
    </row>
    <row r="9" spans="1:32" x14ac:dyDescent="0.15">
      <c r="A9" s="1" t="s">
        <v>44</v>
      </c>
      <c r="B9" s="1" t="s">
        <v>45</v>
      </c>
      <c r="C9" s="1">
        <v>4</v>
      </c>
      <c r="D9" s="1">
        <v>1</v>
      </c>
      <c r="E9" s="1">
        <v>4</v>
      </c>
      <c r="F9" s="1">
        <v>2</v>
      </c>
      <c r="G9" s="1">
        <v>1</v>
      </c>
      <c r="H9" s="1">
        <v>5</v>
      </c>
      <c r="I9" s="1">
        <v>1</v>
      </c>
      <c r="J9" s="1">
        <v>5</v>
      </c>
      <c r="K9" s="1">
        <v>1</v>
      </c>
      <c r="L9" s="1">
        <v>1</v>
      </c>
      <c r="M9" s="1">
        <v>4</v>
      </c>
      <c r="N9" s="1">
        <v>3</v>
      </c>
      <c r="O9" s="1">
        <v>1</v>
      </c>
      <c r="P9" s="1">
        <v>5</v>
      </c>
      <c r="Q9" s="1">
        <v>6</v>
      </c>
      <c r="R9" s="1">
        <v>6</v>
      </c>
      <c r="S9" s="1">
        <v>6</v>
      </c>
      <c r="T9" s="1">
        <v>4</v>
      </c>
      <c r="U9" s="1">
        <v>3</v>
      </c>
      <c r="V9" s="1">
        <v>6</v>
      </c>
      <c r="W9" s="1">
        <v>1</v>
      </c>
      <c r="X9" s="1">
        <v>1</v>
      </c>
      <c r="Y9" s="1">
        <v>5</v>
      </c>
      <c r="Z9" s="1">
        <v>1</v>
      </c>
      <c r="AA9" s="1">
        <v>1</v>
      </c>
      <c r="AB9" s="1">
        <v>1</v>
      </c>
      <c r="AC9" s="1">
        <v>3</v>
      </c>
      <c r="AD9" s="1">
        <v>3</v>
      </c>
      <c r="AE9" s="1">
        <v>3</v>
      </c>
      <c r="AF9" s="1">
        <v>6</v>
      </c>
    </row>
    <row r="10" spans="1:32" x14ac:dyDescent="0.15">
      <c r="A10" s="1" t="s">
        <v>46</v>
      </c>
      <c r="B10" s="1" t="s">
        <v>47</v>
      </c>
      <c r="C10" s="1">
        <v>1</v>
      </c>
      <c r="D10" s="1">
        <v>1</v>
      </c>
      <c r="E10" s="1">
        <v>1</v>
      </c>
      <c r="F10" s="1">
        <v>1</v>
      </c>
      <c r="G10" s="1">
        <v>1</v>
      </c>
      <c r="H10" s="1">
        <v>3</v>
      </c>
      <c r="I10" s="1">
        <v>1</v>
      </c>
      <c r="J10" s="1">
        <v>1</v>
      </c>
      <c r="K10" s="1">
        <v>1</v>
      </c>
      <c r="L10" s="1">
        <v>1</v>
      </c>
      <c r="M10" s="1">
        <v>1</v>
      </c>
      <c r="N10" s="1">
        <v>3</v>
      </c>
      <c r="O10" s="1">
        <v>1</v>
      </c>
      <c r="P10" s="1">
        <v>1</v>
      </c>
      <c r="Q10" s="1">
        <v>4</v>
      </c>
      <c r="R10" s="1">
        <v>3</v>
      </c>
      <c r="S10" s="1">
        <v>1</v>
      </c>
      <c r="T10" s="1">
        <v>1</v>
      </c>
      <c r="U10" s="1">
        <v>1</v>
      </c>
      <c r="V10" s="1">
        <v>1</v>
      </c>
      <c r="W10" s="1">
        <v>1</v>
      </c>
      <c r="X10" s="1">
        <v>1</v>
      </c>
      <c r="Y10" s="1">
        <v>1</v>
      </c>
      <c r="Z10" s="1">
        <v>1</v>
      </c>
      <c r="AA10" s="1">
        <v>1</v>
      </c>
      <c r="AB10" s="1">
        <v>1</v>
      </c>
      <c r="AC10" s="1">
        <v>1</v>
      </c>
      <c r="AD10" s="1">
        <v>1</v>
      </c>
      <c r="AE10" s="1">
        <v>1</v>
      </c>
      <c r="AF10" s="1">
        <v>1</v>
      </c>
    </row>
    <row r="11" spans="1:32" x14ac:dyDescent="0.15">
      <c r="A11" s="1" t="s">
        <v>48</v>
      </c>
      <c r="B11" s="1" t="s">
        <v>49</v>
      </c>
      <c r="C11" s="1">
        <v>1</v>
      </c>
      <c r="D11" s="1">
        <v>1</v>
      </c>
      <c r="E11" s="1">
        <v>1</v>
      </c>
      <c r="F11" s="1">
        <v>1</v>
      </c>
      <c r="G11" s="1">
        <v>1</v>
      </c>
      <c r="H11" s="1">
        <v>2</v>
      </c>
      <c r="I11" s="1">
        <v>1</v>
      </c>
      <c r="J11" s="1">
        <v>1</v>
      </c>
      <c r="K11" s="1">
        <v>1</v>
      </c>
      <c r="L11" s="1">
        <v>1</v>
      </c>
      <c r="M11" s="1">
        <v>1</v>
      </c>
      <c r="N11" s="1">
        <v>5</v>
      </c>
      <c r="O11" s="1">
        <v>1</v>
      </c>
      <c r="P11" s="1">
        <v>1</v>
      </c>
      <c r="Q11" s="1">
        <v>1</v>
      </c>
      <c r="R11" s="1">
        <v>1</v>
      </c>
      <c r="S11" s="1">
        <v>1</v>
      </c>
      <c r="T11" s="1">
        <v>1</v>
      </c>
      <c r="U11" s="1">
        <v>1</v>
      </c>
      <c r="V11" s="1">
        <v>1</v>
      </c>
      <c r="W11" s="1">
        <v>1</v>
      </c>
      <c r="X11" s="1">
        <v>1</v>
      </c>
      <c r="Y11" s="1">
        <v>1</v>
      </c>
      <c r="Z11" s="1">
        <v>1</v>
      </c>
      <c r="AA11" s="1">
        <v>1</v>
      </c>
      <c r="AB11" s="1">
        <v>1</v>
      </c>
      <c r="AC11" s="1">
        <v>1</v>
      </c>
      <c r="AD11" s="1">
        <v>1</v>
      </c>
      <c r="AE11" s="1">
        <v>1</v>
      </c>
      <c r="AF11" s="1">
        <v>1</v>
      </c>
    </row>
    <row r="12" spans="1:32" x14ac:dyDescent="0.15">
      <c r="A12" s="1" t="s">
        <v>50</v>
      </c>
      <c r="B12" s="1" t="s">
        <v>51</v>
      </c>
      <c r="C12" s="1">
        <v>1</v>
      </c>
      <c r="D12" s="1">
        <v>1</v>
      </c>
      <c r="E12" s="1">
        <v>5</v>
      </c>
      <c r="F12" s="1">
        <v>1</v>
      </c>
      <c r="G12" s="1">
        <v>1</v>
      </c>
      <c r="H12" s="1">
        <v>4</v>
      </c>
      <c r="I12" s="1">
        <v>1</v>
      </c>
      <c r="J12" s="1">
        <v>4</v>
      </c>
      <c r="K12" s="1">
        <v>4</v>
      </c>
      <c r="L12" s="1">
        <v>3</v>
      </c>
      <c r="M12" s="1">
        <v>6</v>
      </c>
      <c r="N12" s="1">
        <v>3</v>
      </c>
      <c r="O12" s="1">
        <v>4</v>
      </c>
      <c r="P12" s="1">
        <v>1</v>
      </c>
      <c r="Q12" s="1">
        <v>3</v>
      </c>
      <c r="R12" s="1">
        <v>3</v>
      </c>
      <c r="S12" s="1">
        <v>1</v>
      </c>
      <c r="T12" s="1">
        <v>1</v>
      </c>
      <c r="U12" s="1">
        <v>1</v>
      </c>
      <c r="V12" s="1">
        <v>1</v>
      </c>
      <c r="W12" s="1">
        <v>3</v>
      </c>
      <c r="X12" s="1">
        <v>1</v>
      </c>
      <c r="Y12" s="1">
        <v>1</v>
      </c>
      <c r="Z12" s="1">
        <v>1</v>
      </c>
      <c r="AA12" s="1">
        <v>1</v>
      </c>
      <c r="AB12" s="1">
        <v>1</v>
      </c>
      <c r="AC12" s="1">
        <v>1</v>
      </c>
      <c r="AD12" s="1">
        <v>1</v>
      </c>
      <c r="AE12" s="1">
        <v>2</v>
      </c>
      <c r="AF12" s="1">
        <v>3</v>
      </c>
    </row>
    <row r="13" spans="1:32" x14ac:dyDescent="0.15">
      <c r="A13" s="1" t="s">
        <v>52</v>
      </c>
      <c r="B13" s="1" t="s">
        <v>53</v>
      </c>
      <c r="C13" s="1">
        <v>4</v>
      </c>
      <c r="D13" s="1">
        <v>1</v>
      </c>
      <c r="E13" s="1">
        <v>5</v>
      </c>
      <c r="F13" s="1">
        <v>3</v>
      </c>
      <c r="G13" s="1">
        <v>5</v>
      </c>
      <c r="H13" s="1">
        <v>3</v>
      </c>
      <c r="I13" s="1">
        <v>3</v>
      </c>
      <c r="J13" s="1">
        <v>1</v>
      </c>
      <c r="K13" s="1">
        <v>2</v>
      </c>
      <c r="L13" s="1">
        <v>2</v>
      </c>
      <c r="M13" s="1">
        <v>2</v>
      </c>
      <c r="O13" s="1">
        <v>1</v>
      </c>
      <c r="P13" s="1">
        <v>1</v>
      </c>
      <c r="Q13" s="1">
        <v>1</v>
      </c>
      <c r="R13" s="1">
        <v>3</v>
      </c>
      <c r="S13" s="1">
        <v>5</v>
      </c>
      <c r="T13" s="1">
        <v>3</v>
      </c>
      <c r="U13" s="1">
        <v>1</v>
      </c>
      <c r="V13" s="1">
        <v>4</v>
      </c>
      <c r="W13" s="1">
        <v>1</v>
      </c>
      <c r="X13" s="1">
        <v>1</v>
      </c>
      <c r="Y13" s="1">
        <v>4</v>
      </c>
      <c r="AA13" s="1">
        <v>3</v>
      </c>
      <c r="AB13" s="1">
        <v>2</v>
      </c>
      <c r="AC13" s="1">
        <v>2</v>
      </c>
      <c r="AD13" s="1">
        <v>1</v>
      </c>
      <c r="AE13" s="1">
        <v>1</v>
      </c>
      <c r="AF13" s="1">
        <v>1</v>
      </c>
    </row>
    <row r="14" spans="1:32" x14ac:dyDescent="0.15">
      <c r="A14" s="1" t="s">
        <v>54</v>
      </c>
      <c r="B14" s="1" t="s">
        <v>55</v>
      </c>
      <c r="C14" s="1">
        <v>3</v>
      </c>
      <c r="D14" s="1">
        <v>1</v>
      </c>
      <c r="E14" s="1">
        <v>1</v>
      </c>
      <c r="F14" s="1">
        <v>1</v>
      </c>
      <c r="G14" s="1">
        <v>1</v>
      </c>
      <c r="H14" s="1">
        <v>3</v>
      </c>
      <c r="I14" s="1">
        <v>1</v>
      </c>
      <c r="J14" s="1">
        <v>3</v>
      </c>
      <c r="K14" s="1">
        <v>3</v>
      </c>
      <c r="L14" s="1">
        <v>1</v>
      </c>
      <c r="M14" s="1">
        <v>1</v>
      </c>
      <c r="N14" s="1">
        <v>3</v>
      </c>
      <c r="O14" s="1">
        <v>2</v>
      </c>
      <c r="P14" s="1">
        <v>1</v>
      </c>
      <c r="Q14" s="1">
        <v>1</v>
      </c>
      <c r="R14" s="1">
        <v>3</v>
      </c>
      <c r="S14" s="1">
        <v>2</v>
      </c>
      <c r="T14" s="1">
        <v>2</v>
      </c>
      <c r="U14" s="1">
        <v>2</v>
      </c>
      <c r="V14" s="1">
        <v>1</v>
      </c>
      <c r="W14" s="1">
        <v>2</v>
      </c>
      <c r="X14" s="1">
        <v>1</v>
      </c>
      <c r="Y14" s="1">
        <v>3</v>
      </c>
      <c r="Z14" s="1">
        <v>3</v>
      </c>
      <c r="AA14" s="1">
        <v>3</v>
      </c>
      <c r="AB14" s="1">
        <v>3</v>
      </c>
      <c r="AC14" s="1">
        <v>3</v>
      </c>
      <c r="AD14" s="1">
        <v>2</v>
      </c>
      <c r="AE14" s="1">
        <v>1</v>
      </c>
      <c r="AF14" s="1">
        <v>2</v>
      </c>
    </row>
    <row r="15" spans="1:32" x14ac:dyDescent="0.15">
      <c r="A15" s="1" t="s">
        <v>56</v>
      </c>
      <c r="B15" s="1" t="s">
        <v>57</v>
      </c>
      <c r="C15" s="1">
        <v>1</v>
      </c>
      <c r="D15" s="1">
        <v>1</v>
      </c>
      <c r="E15" s="1">
        <v>4</v>
      </c>
      <c r="F15" s="1">
        <v>1</v>
      </c>
      <c r="G15" s="1">
        <v>1</v>
      </c>
      <c r="H15" s="1">
        <v>1</v>
      </c>
      <c r="I15" s="1">
        <v>1</v>
      </c>
      <c r="J15" s="1">
        <v>3</v>
      </c>
      <c r="K15" s="1">
        <v>3</v>
      </c>
      <c r="L15" s="1">
        <v>3</v>
      </c>
      <c r="M15" s="1">
        <v>1</v>
      </c>
      <c r="N15" s="1">
        <v>3</v>
      </c>
      <c r="O15" s="1">
        <v>3</v>
      </c>
      <c r="P15" s="1">
        <v>1</v>
      </c>
      <c r="Q15" s="1">
        <v>1</v>
      </c>
      <c r="R15" s="1">
        <v>3</v>
      </c>
      <c r="S15" s="1">
        <v>1</v>
      </c>
      <c r="T15" s="1">
        <v>1</v>
      </c>
      <c r="U15" s="1">
        <v>1</v>
      </c>
      <c r="V15" s="1">
        <v>1</v>
      </c>
      <c r="W15" s="1">
        <v>1</v>
      </c>
      <c r="X15" s="1">
        <v>1</v>
      </c>
      <c r="Y15" s="1">
        <v>1</v>
      </c>
      <c r="Z15" s="1">
        <v>1</v>
      </c>
      <c r="AA15" s="1">
        <v>3</v>
      </c>
      <c r="AB15" s="1">
        <v>1</v>
      </c>
      <c r="AC15" s="1">
        <v>1</v>
      </c>
      <c r="AD15" s="1">
        <v>1</v>
      </c>
      <c r="AE15" s="1">
        <v>2</v>
      </c>
      <c r="AF15" s="1">
        <v>1</v>
      </c>
    </row>
    <row r="16" spans="1:32" x14ac:dyDescent="0.15">
      <c r="A16" s="1" t="s">
        <v>58</v>
      </c>
      <c r="B16" s="1" t="s">
        <v>57</v>
      </c>
      <c r="C16" s="1">
        <v>4</v>
      </c>
      <c r="D16" s="1">
        <v>2</v>
      </c>
      <c r="E16" s="1">
        <v>4</v>
      </c>
      <c r="F16" s="1">
        <v>1</v>
      </c>
      <c r="G16" s="1">
        <v>5</v>
      </c>
      <c r="H16" s="1">
        <v>2</v>
      </c>
      <c r="I16" s="1">
        <v>1</v>
      </c>
      <c r="J16" s="1">
        <v>2</v>
      </c>
      <c r="K16" s="1">
        <v>1</v>
      </c>
      <c r="L16" s="1">
        <v>1</v>
      </c>
      <c r="M16" s="1">
        <v>1</v>
      </c>
      <c r="N16" s="1">
        <v>4</v>
      </c>
      <c r="O16" s="1">
        <v>1</v>
      </c>
      <c r="P16" s="1">
        <v>3</v>
      </c>
      <c r="Q16" s="1">
        <v>1</v>
      </c>
      <c r="R16" s="1">
        <v>3</v>
      </c>
      <c r="S16" s="1">
        <v>1</v>
      </c>
      <c r="T16" s="1">
        <v>1</v>
      </c>
      <c r="U16" s="1">
        <v>1</v>
      </c>
      <c r="V16" s="1">
        <v>1</v>
      </c>
      <c r="W16" s="1">
        <v>1</v>
      </c>
      <c r="X16" s="1">
        <v>1</v>
      </c>
      <c r="Y16" s="1">
        <v>4</v>
      </c>
      <c r="Z16" s="1">
        <v>1</v>
      </c>
      <c r="AA16" s="1">
        <v>1</v>
      </c>
      <c r="AB16" s="1">
        <v>1</v>
      </c>
      <c r="AC16" s="1">
        <v>2</v>
      </c>
      <c r="AD16" s="1">
        <v>1</v>
      </c>
      <c r="AE16" s="1">
        <v>3</v>
      </c>
      <c r="AF16" s="1">
        <v>1</v>
      </c>
    </row>
    <row r="17" spans="1:32" x14ac:dyDescent="0.15">
      <c r="A17" s="1" t="s">
        <v>59</v>
      </c>
      <c r="B17" s="1" t="s">
        <v>60</v>
      </c>
      <c r="C17" s="1">
        <v>4</v>
      </c>
      <c r="D17" s="1">
        <v>1</v>
      </c>
      <c r="E17" s="1">
        <v>1</v>
      </c>
      <c r="F17" s="1">
        <v>1</v>
      </c>
      <c r="G17" s="1">
        <v>1</v>
      </c>
      <c r="H17" s="1">
        <v>1</v>
      </c>
      <c r="I17" s="1">
        <v>3</v>
      </c>
      <c r="J17" s="1">
        <v>1</v>
      </c>
      <c r="K17" s="1">
        <v>1</v>
      </c>
      <c r="L17" s="1">
        <v>1</v>
      </c>
      <c r="M17" s="1">
        <v>3</v>
      </c>
      <c r="N17" s="1">
        <v>3</v>
      </c>
      <c r="O17" s="1">
        <v>1</v>
      </c>
      <c r="P17" s="1">
        <v>1</v>
      </c>
      <c r="Q17" s="1">
        <v>4</v>
      </c>
      <c r="R17" s="1">
        <v>3</v>
      </c>
      <c r="S17" s="1">
        <v>1</v>
      </c>
      <c r="T17" s="1">
        <v>4</v>
      </c>
      <c r="U17" s="1">
        <v>3</v>
      </c>
      <c r="V17" s="1">
        <v>4</v>
      </c>
      <c r="W17" s="1">
        <v>1</v>
      </c>
      <c r="X17" s="1">
        <v>1</v>
      </c>
      <c r="Y17" s="1">
        <v>4</v>
      </c>
      <c r="Z17" s="1">
        <v>1</v>
      </c>
      <c r="AA17" s="1">
        <v>2</v>
      </c>
      <c r="AB17" s="1">
        <v>1</v>
      </c>
      <c r="AC17" s="1">
        <v>3</v>
      </c>
      <c r="AD17" s="1">
        <v>2</v>
      </c>
      <c r="AE17" s="1">
        <v>1</v>
      </c>
      <c r="AF17" s="1">
        <v>3</v>
      </c>
    </row>
    <row r="18" spans="1:32" x14ac:dyDescent="0.15">
      <c r="A18" s="1" t="s">
        <v>61</v>
      </c>
      <c r="B18" s="1" t="s">
        <v>62</v>
      </c>
      <c r="C18" s="1">
        <v>1</v>
      </c>
      <c r="D18" s="1">
        <v>1</v>
      </c>
      <c r="E18" s="1">
        <v>4</v>
      </c>
      <c r="F18" s="1">
        <v>1</v>
      </c>
      <c r="G18" s="1">
        <v>2</v>
      </c>
      <c r="H18" s="1">
        <v>1</v>
      </c>
      <c r="I18" s="1">
        <v>1</v>
      </c>
      <c r="J18" s="1">
        <v>2</v>
      </c>
      <c r="K18" s="1">
        <v>2</v>
      </c>
      <c r="L18" s="1">
        <v>1</v>
      </c>
      <c r="M18" s="1">
        <v>3</v>
      </c>
      <c r="N18" s="1">
        <v>3</v>
      </c>
      <c r="O18" s="1">
        <v>1</v>
      </c>
      <c r="P18" s="1">
        <v>1</v>
      </c>
      <c r="Q18" s="1">
        <v>2</v>
      </c>
      <c r="R18" s="1">
        <v>1</v>
      </c>
      <c r="S18" s="1">
        <v>1</v>
      </c>
      <c r="T18" s="1">
        <v>1</v>
      </c>
      <c r="U18" s="1">
        <v>1</v>
      </c>
      <c r="V18" s="1">
        <v>2</v>
      </c>
      <c r="W18" s="1">
        <v>1</v>
      </c>
      <c r="X18" s="1">
        <v>1</v>
      </c>
      <c r="Y18" s="1">
        <v>1</v>
      </c>
      <c r="Z18" s="1">
        <v>2</v>
      </c>
      <c r="AA18" s="1">
        <v>1</v>
      </c>
      <c r="AB18" s="1">
        <v>1</v>
      </c>
      <c r="AC18" s="1">
        <v>1</v>
      </c>
      <c r="AD18" s="1">
        <v>1</v>
      </c>
      <c r="AE18" s="1">
        <v>1</v>
      </c>
      <c r="AF18" s="1">
        <v>2</v>
      </c>
    </row>
    <row r="19" spans="1:32" x14ac:dyDescent="0.15">
      <c r="A19" s="1" t="s">
        <v>63</v>
      </c>
      <c r="B19" s="1" t="s">
        <v>64</v>
      </c>
      <c r="C19" s="1">
        <v>4</v>
      </c>
      <c r="D19" s="1">
        <v>1</v>
      </c>
      <c r="E19" s="1">
        <v>3</v>
      </c>
      <c r="F19" s="1">
        <v>1</v>
      </c>
      <c r="G19" s="1">
        <v>5</v>
      </c>
      <c r="H19" s="1">
        <v>5</v>
      </c>
      <c r="I19" s="1">
        <v>1</v>
      </c>
      <c r="J19" s="1">
        <v>4</v>
      </c>
      <c r="K19" s="1">
        <v>1</v>
      </c>
      <c r="L19" s="1">
        <v>1</v>
      </c>
      <c r="M19" s="1">
        <v>3</v>
      </c>
      <c r="N19" s="1">
        <v>2</v>
      </c>
      <c r="O19" s="1">
        <v>2</v>
      </c>
      <c r="P19" s="1">
        <v>2</v>
      </c>
      <c r="Q19" s="1">
        <v>1</v>
      </c>
      <c r="R19" s="1">
        <v>4</v>
      </c>
      <c r="S19" s="1">
        <v>6</v>
      </c>
      <c r="T19" s="1">
        <v>1</v>
      </c>
      <c r="U19" s="1">
        <v>2</v>
      </c>
      <c r="V19" s="1">
        <v>4</v>
      </c>
      <c r="W19" s="1">
        <v>1</v>
      </c>
      <c r="X19" s="1">
        <v>1</v>
      </c>
      <c r="Y19" s="1">
        <v>1</v>
      </c>
      <c r="Z19" s="1">
        <v>1</v>
      </c>
      <c r="AA19" s="1">
        <v>1</v>
      </c>
      <c r="AB19" s="1">
        <v>1</v>
      </c>
      <c r="AC19" s="1">
        <v>1</v>
      </c>
      <c r="AD19" s="1">
        <v>1</v>
      </c>
      <c r="AE19" s="1">
        <v>3</v>
      </c>
      <c r="AF19" s="1">
        <v>2</v>
      </c>
    </row>
    <row r="20" spans="1:32" x14ac:dyDescent="0.15">
      <c r="A20" s="1" t="s">
        <v>65</v>
      </c>
      <c r="B20" s="1" t="s">
        <v>66</v>
      </c>
      <c r="C20" s="1">
        <v>4</v>
      </c>
      <c r="D20" s="1">
        <v>1</v>
      </c>
      <c r="E20" s="1">
        <v>4</v>
      </c>
      <c r="F20" s="1">
        <v>1</v>
      </c>
      <c r="G20" s="1">
        <v>1</v>
      </c>
      <c r="H20" s="1">
        <v>3</v>
      </c>
      <c r="I20" s="1">
        <v>1</v>
      </c>
      <c r="J20" s="1">
        <v>1</v>
      </c>
      <c r="K20" s="1">
        <v>1</v>
      </c>
      <c r="L20" s="1">
        <v>1</v>
      </c>
      <c r="M20" s="1">
        <v>1</v>
      </c>
      <c r="N20" s="1">
        <v>2</v>
      </c>
      <c r="O20" s="1">
        <v>1</v>
      </c>
      <c r="P20" s="1">
        <v>1</v>
      </c>
      <c r="Q20" s="1">
        <v>4</v>
      </c>
      <c r="R20" s="1">
        <v>2</v>
      </c>
      <c r="S20" s="1">
        <v>4</v>
      </c>
      <c r="T20" s="1">
        <v>1</v>
      </c>
      <c r="U20" s="1">
        <v>1</v>
      </c>
      <c r="V20" s="1">
        <v>4</v>
      </c>
      <c r="W20" s="1">
        <v>1</v>
      </c>
      <c r="X20" s="1">
        <v>1</v>
      </c>
      <c r="Y20" s="1">
        <v>4</v>
      </c>
      <c r="Z20" s="1">
        <v>1</v>
      </c>
      <c r="AA20" s="1">
        <v>3</v>
      </c>
      <c r="AB20" s="1">
        <v>3</v>
      </c>
      <c r="AC20" s="1">
        <v>3</v>
      </c>
      <c r="AD20" s="1">
        <v>3</v>
      </c>
      <c r="AE20" s="1">
        <v>1</v>
      </c>
      <c r="AF20" s="1">
        <v>1</v>
      </c>
    </row>
    <row r="21" spans="1:32" x14ac:dyDescent="0.15">
      <c r="A21" s="1" t="s">
        <v>67</v>
      </c>
      <c r="B21" s="1" t="s">
        <v>68</v>
      </c>
      <c r="C21" s="1">
        <v>6</v>
      </c>
      <c r="D21" s="1">
        <v>3</v>
      </c>
      <c r="E21" s="1">
        <v>5</v>
      </c>
      <c r="F21" s="1">
        <v>3</v>
      </c>
      <c r="G21" s="1">
        <v>5</v>
      </c>
      <c r="H21" s="1">
        <v>5</v>
      </c>
      <c r="I21" s="1">
        <v>1</v>
      </c>
      <c r="J21" s="1">
        <v>1</v>
      </c>
      <c r="K21" s="1">
        <v>2</v>
      </c>
      <c r="L21" s="1">
        <v>1</v>
      </c>
      <c r="M21" s="1">
        <v>3</v>
      </c>
      <c r="N21" s="1">
        <v>4</v>
      </c>
      <c r="O21" s="1">
        <v>1</v>
      </c>
      <c r="P21" s="1">
        <v>5</v>
      </c>
      <c r="Q21" s="1">
        <v>5</v>
      </c>
      <c r="R21" s="1">
        <v>5</v>
      </c>
      <c r="S21" s="1">
        <v>5</v>
      </c>
      <c r="T21" s="1">
        <v>4</v>
      </c>
      <c r="U21" s="1">
        <v>1</v>
      </c>
      <c r="V21" s="1">
        <v>4</v>
      </c>
      <c r="W21" s="1">
        <v>1</v>
      </c>
      <c r="X21" s="1">
        <v>1</v>
      </c>
      <c r="Y21" s="1">
        <v>5</v>
      </c>
      <c r="Z21" s="1">
        <v>1</v>
      </c>
      <c r="AA21" s="1">
        <v>2</v>
      </c>
      <c r="AB21" s="1">
        <v>4</v>
      </c>
      <c r="AC21" s="1">
        <v>3</v>
      </c>
      <c r="AD21" s="1">
        <v>1</v>
      </c>
      <c r="AE21" s="1">
        <v>2</v>
      </c>
      <c r="AF21" s="1">
        <v>2</v>
      </c>
    </row>
    <row r="22" spans="1:32" x14ac:dyDescent="0.15">
      <c r="A22" s="1" t="s">
        <v>69</v>
      </c>
      <c r="B22" s="1" t="s">
        <v>70</v>
      </c>
      <c r="C22" s="1">
        <v>1</v>
      </c>
      <c r="D22" s="1">
        <v>1</v>
      </c>
      <c r="E22" s="1">
        <v>5</v>
      </c>
      <c r="F22" s="1">
        <v>1</v>
      </c>
      <c r="G22" s="1">
        <v>2</v>
      </c>
      <c r="H22" s="1">
        <v>3</v>
      </c>
      <c r="I22" s="1">
        <v>1</v>
      </c>
      <c r="J22" s="1">
        <v>1</v>
      </c>
      <c r="K22" s="1">
        <v>1</v>
      </c>
      <c r="L22" s="1">
        <v>1</v>
      </c>
      <c r="M22" s="1">
        <v>3</v>
      </c>
      <c r="N22" s="1">
        <v>3</v>
      </c>
      <c r="O22" s="1">
        <v>1</v>
      </c>
      <c r="P22" s="1">
        <v>1</v>
      </c>
      <c r="Q22" s="1">
        <v>2</v>
      </c>
      <c r="R22" s="1">
        <v>5</v>
      </c>
      <c r="S22" s="1">
        <v>1</v>
      </c>
      <c r="T22" s="1">
        <v>2</v>
      </c>
      <c r="U22" s="1">
        <v>1</v>
      </c>
      <c r="V22" s="1">
        <v>4</v>
      </c>
      <c r="W22" s="1">
        <v>1</v>
      </c>
      <c r="X22" s="1">
        <v>1</v>
      </c>
      <c r="Y22" s="1">
        <v>3</v>
      </c>
      <c r="Z22" s="1">
        <v>1</v>
      </c>
      <c r="AA22" s="1">
        <v>3</v>
      </c>
      <c r="AB22" s="1">
        <v>1</v>
      </c>
      <c r="AC22" s="1">
        <v>1</v>
      </c>
      <c r="AD22" s="1">
        <v>1</v>
      </c>
      <c r="AE22" s="1">
        <v>1</v>
      </c>
      <c r="AF22" s="1">
        <v>2</v>
      </c>
    </row>
    <row r="23" spans="1:32" x14ac:dyDescent="0.15">
      <c r="A23" s="1" t="s">
        <v>71</v>
      </c>
      <c r="B23" s="1" t="s">
        <v>72</v>
      </c>
      <c r="C23" s="1">
        <v>2</v>
      </c>
      <c r="D23" s="1">
        <v>2</v>
      </c>
      <c r="E23" s="1">
        <v>1</v>
      </c>
      <c r="F23" s="1">
        <v>2</v>
      </c>
      <c r="G23" s="1">
        <v>3</v>
      </c>
      <c r="H23" s="1">
        <v>2</v>
      </c>
      <c r="I23" s="1">
        <v>1</v>
      </c>
      <c r="J23" s="1">
        <v>5</v>
      </c>
      <c r="K23" s="1">
        <v>4</v>
      </c>
      <c r="L23" s="1">
        <v>3</v>
      </c>
      <c r="M23" s="1">
        <v>3</v>
      </c>
      <c r="N23" s="1">
        <v>2</v>
      </c>
      <c r="O23" s="1">
        <v>2</v>
      </c>
      <c r="P23" s="1">
        <v>3</v>
      </c>
      <c r="Q23" s="1">
        <v>4</v>
      </c>
      <c r="R23" s="1">
        <v>4</v>
      </c>
      <c r="S23" s="1">
        <v>1</v>
      </c>
      <c r="T23" s="1">
        <v>3</v>
      </c>
      <c r="U23" s="1">
        <v>3</v>
      </c>
      <c r="V23" s="1">
        <v>3</v>
      </c>
      <c r="W23" s="1">
        <v>3</v>
      </c>
      <c r="X23" s="1">
        <v>2</v>
      </c>
      <c r="Y23" s="1">
        <v>1</v>
      </c>
      <c r="Z23" s="1">
        <v>1</v>
      </c>
      <c r="AA23" s="1">
        <v>2</v>
      </c>
      <c r="AB23" s="1">
        <v>6</v>
      </c>
      <c r="AC23" s="1">
        <v>1</v>
      </c>
      <c r="AD23" s="1">
        <v>1</v>
      </c>
      <c r="AE23" s="1">
        <v>3</v>
      </c>
      <c r="AF23" s="1">
        <v>3</v>
      </c>
    </row>
    <row r="24" spans="1:32" x14ac:dyDescent="0.15">
      <c r="A24" s="1" t="s">
        <v>73</v>
      </c>
      <c r="B24" s="1" t="s">
        <v>74</v>
      </c>
      <c r="C24" s="1">
        <v>1</v>
      </c>
      <c r="D24" s="1">
        <v>1</v>
      </c>
      <c r="E24" s="1">
        <v>1</v>
      </c>
      <c r="F24" s="1">
        <v>1</v>
      </c>
      <c r="G24" s="1">
        <v>1</v>
      </c>
      <c r="H24" s="1">
        <v>2</v>
      </c>
      <c r="I24" s="1">
        <v>1</v>
      </c>
      <c r="J24" s="1">
        <v>2</v>
      </c>
      <c r="K24" s="1">
        <v>4</v>
      </c>
      <c r="L24" s="1">
        <v>4</v>
      </c>
      <c r="M24" s="1">
        <v>3</v>
      </c>
      <c r="N24" s="1">
        <v>1</v>
      </c>
      <c r="O24" s="1">
        <v>3</v>
      </c>
      <c r="P24" s="1">
        <v>1</v>
      </c>
      <c r="Q24" s="1">
        <v>2</v>
      </c>
      <c r="R24" s="1">
        <v>2</v>
      </c>
      <c r="S24" s="1">
        <v>1</v>
      </c>
      <c r="T24" s="1">
        <v>2</v>
      </c>
      <c r="U24" s="1">
        <v>1</v>
      </c>
      <c r="V24" s="1">
        <v>2</v>
      </c>
      <c r="W24" s="1">
        <v>1</v>
      </c>
      <c r="X24" s="1">
        <v>2</v>
      </c>
      <c r="Y24" s="1">
        <v>1</v>
      </c>
      <c r="Z24" s="1">
        <v>2</v>
      </c>
      <c r="AA24" s="1">
        <v>1</v>
      </c>
      <c r="AB24" s="1">
        <v>4</v>
      </c>
      <c r="AC24" s="1">
        <v>2</v>
      </c>
      <c r="AD24" s="1">
        <v>1</v>
      </c>
      <c r="AE24" s="1">
        <v>2</v>
      </c>
      <c r="AF24" s="1">
        <v>3</v>
      </c>
    </row>
    <row r="25" spans="1:32" x14ac:dyDescent="0.15">
      <c r="A25" s="1" t="s">
        <v>75</v>
      </c>
      <c r="B25" s="1" t="s">
        <v>76</v>
      </c>
      <c r="C25" s="1">
        <v>1</v>
      </c>
      <c r="D25" s="1">
        <v>1</v>
      </c>
      <c r="E25" s="1">
        <v>1</v>
      </c>
      <c r="F25" s="1">
        <v>1</v>
      </c>
      <c r="G25" s="1">
        <v>1</v>
      </c>
      <c r="H25" s="1">
        <v>1</v>
      </c>
      <c r="I25" s="1">
        <v>1</v>
      </c>
      <c r="J25" s="1">
        <v>1</v>
      </c>
      <c r="K25" s="1">
        <v>3</v>
      </c>
      <c r="L25" s="1">
        <v>1</v>
      </c>
      <c r="M25" s="1">
        <v>3</v>
      </c>
      <c r="N25" s="1">
        <v>3</v>
      </c>
      <c r="O25" s="1">
        <v>1</v>
      </c>
      <c r="P25" s="1">
        <v>1</v>
      </c>
      <c r="Q25" s="1">
        <v>1</v>
      </c>
      <c r="R25" s="1">
        <v>1</v>
      </c>
      <c r="S25" s="1">
        <v>1</v>
      </c>
      <c r="T25" s="1">
        <v>1</v>
      </c>
      <c r="U25" s="1">
        <v>1</v>
      </c>
      <c r="V25" s="1">
        <v>1</v>
      </c>
      <c r="W25" s="1">
        <v>1</v>
      </c>
      <c r="X25" s="1">
        <v>1</v>
      </c>
      <c r="Y25" s="1">
        <v>1</v>
      </c>
      <c r="Z25" s="1">
        <v>3</v>
      </c>
      <c r="AA25" s="1">
        <v>1</v>
      </c>
      <c r="AB25" s="1">
        <v>1</v>
      </c>
      <c r="AC25" s="1">
        <v>1</v>
      </c>
      <c r="AD25" s="1">
        <v>1</v>
      </c>
      <c r="AE25" s="1">
        <v>1</v>
      </c>
      <c r="AF25" s="1">
        <v>1</v>
      </c>
    </row>
    <row r="26" spans="1:32" x14ac:dyDescent="0.15">
      <c r="A26" s="1" t="s">
        <v>77</v>
      </c>
      <c r="B26" s="1" t="s">
        <v>78</v>
      </c>
      <c r="C26" s="1">
        <v>4</v>
      </c>
      <c r="D26" s="1">
        <v>1</v>
      </c>
      <c r="E26" s="1">
        <v>2</v>
      </c>
      <c r="F26" s="1">
        <v>1</v>
      </c>
      <c r="G26" s="1">
        <v>3</v>
      </c>
      <c r="H26" s="1">
        <v>1</v>
      </c>
      <c r="I26" s="1">
        <v>1</v>
      </c>
      <c r="J26" s="1">
        <v>1</v>
      </c>
      <c r="K26" s="1">
        <v>3</v>
      </c>
      <c r="L26" s="1">
        <v>1</v>
      </c>
      <c r="M26" s="1">
        <v>2</v>
      </c>
      <c r="N26" s="1">
        <v>2</v>
      </c>
      <c r="O26" s="1">
        <v>1</v>
      </c>
      <c r="P26" s="1">
        <v>1</v>
      </c>
      <c r="Q26" s="1">
        <v>2</v>
      </c>
      <c r="R26" s="1">
        <v>3</v>
      </c>
      <c r="S26" s="1">
        <v>1</v>
      </c>
      <c r="T26" s="1">
        <v>1</v>
      </c>
      <c r="U26" s="1">
        <v>1</v>
      </c>
      <c r="V26" s="1">
        <v>1</v>
      </c>
      <c r="W26" s="1">
        <v>1</v>
      </c>
      <c r="X26" s="1">
        <v>1</v>
      </c>
      <c r="Y26" s="1">
        <v>1</v>
      </c>
      <c r="Z26" s="1">
        <v>1</v>
      </c>
      <c r="AA26" s="1">
        <v>1</v>
      </c>
      <c r="AB26" s="1">
        <v>3</v>
      </c>
      <c r="AC26" s="1">
        <v>1</v>
      </c>
      <c r="AD26" s="1">
        <v>1</v>
      </c>
      <c r="AE26" s="1">
        <v>1</v>
      </c>
      <c r="AF26" s="1">
        <v>1</v>
      </c>
    </row>
    <row r="27" spans="1:32" x14ac:dyDescent="0.15">
      <c r="A27" s="1" t="s">
        <v>79</v>
      </c>
      <c r="B27" s="1" t="s">
        <v>80</v>
      </c>
      <c r="C27" s="1">
        <v>3</v>
      </c>
      <c r="D27" s="1">
        <v>1</v>
      </c>
      <c r="E27" s="1">
        <v>5</v>
      </c>
      <c r="F27" s="1">
        <v>1</v>
      </c>
      <c r="G27" s="1">
        <v>1</v>
      </c>
      <c r="H27" s="1">
        <v>1</v>
      </c>
      <c r="I27" s="1">
        <v>1</v>
      </c>
      <c r="J27" s="1">
        <v>1</v>
      </c>
      <c r="K27" s="1">
        <v>3</v>
      </c>
      <c r="L27" s="1">
        <v>1</v>
      </c>
      <c r="M27" s="1">
        <v>1</v>
      </c>
      <c r="N27" s="1">
        <v>4</v>
      </c>
      <c r="O27" s="1">
        <v>3</v>
      </c>
      <c r="P27" s="1">
        <v>1</v>
      </c>
      <c r="Q27" s="1">
        <v>1</v>
      </c>
      <c r="R27" s="1">
        <v>1</v>
      </c>
      <c r="S27" s="1">
        <v>1</v>
      </c>
      <c r="T27" s="1">
        <v>1</v>
      </c>
      <c r="U27" s="1">
        <v>1</v>
      </c>
      <c r="V27" s="1">
        <v>1</v>
      </c>
      <c r="W27" s="1">
        <v>1</v>
      </c>
      <c r="X27" s="1">
        <v>1</v>
      </c>
      <c r="Y27" s="1">
        <v>1</v>
      </c>
      <c r="Z27" s="1">
        <v>3</v>
      </c>
      <c r="AA27" s="1">
        <v>1</v>
      </c>
      <c r="AB27" s="1">
        <v>1</v>
      </c>
      <c r="AC27" s="1">
        <v>1</v>
      </c>
      <c r="AD27" s="1">
        <v>1</v>
      </c>
      <c r="AE27" s="1">
        <v>1</v>
      </c>
      <c r="AF27" s="1">
        <v>1</v>
      </c>
    </row>
    <row r="28" spans="1:32" x14ac:dyDescent="0.15">
      <c r="A28" s="1" t="s">
        <v>81</v>
      </c>
      <c r="B28" s="1" t="s">
        <v>80</v>
      </c>
      <c r="C28" s="1">
        <v>4</v>
      </c>
      <c r="D28" s="1">
        <v>1</v>
      </c>
      <c r="E28" s="1">
        <v>1</v>
      </c>
      <c r="F28" s="1">
        <v>1</v>
      </c>
      <c r="G28" s="1">
        <v>1</v>
      </c>
      <c r="H28" s="1">
        <v>4</v>
      </c>
      <c r="I28" s="1">
        <v>1</v>
      </c>
      <c r="J28" s="1">
        <v>3</v>
      </c>
      <c r="K28" s="1">
        <v>3</v>
      </c>
      <c r="L28" s="1">
        <v>1</v>
      </c>
      <c r="M28" s="1">
        <v>3</v>
      </c>
      <c r="N28" s="1">
        <v>3</v>
      </c>
      <c r="O28" s="1">
        <v>3</v>
      </c>
      <c r="P28" s="1">
        <v>1</v>
      </c>
      <c r="Q28" s="1">
        <v>3</v>
      </c>
      <c r="R28" s="1">
        <v>1</v>
      </c>
      <c r="S28" s="1">
        <v>1</v>
      </c>
      <c r="T28" s="1">
        <v>1</v>
      </c>
      <c r="U28" s="1">
        <v>1</v>
      </c>
      <c r="V28" s="1">
        <v>1</v>
      </c>
      <c r="W28" s="1">
        <v>3</v>
      </c>
      <c r="X28" s="1">
        <v>1</v>
      </c>
      <c r="Y28" s="1">
        <v>1</v>
      </c>
      <c r="Z28" s="1">
        <v>1</v>
      </c>
      <c r="AA28" s="1">
        <v>1</v>
      </c>
      <c r="AB28" s="1">
        <v>1</v>
      </c>
      <c r="AC28" s="1">
        <v>1</v>
      </c>
      <c r="AD28" s="1">
        <v>1</v>
      </c>
      <c r="AE28" s="1">
        <v>1</v>
      </c>
      <c r="AF28" s="1">
        <v>3</v>
      </c>
    </row>
    <row r="29" spans="1:32" x14ac:dyDescent="0.15">
      <c r="A29" s="1" t="s">
        <v>82</v>
      </c>
      <c r="B29" s="1" t="s">
        <v>83</v>
      </c>
      <c r="C29" s="1">
        <v>6</v>
      </c>
      <c r="D29" s="1">
        <v>1</v>
      </c>
      <c r="E29" s="1">
        <v>5</v>
      </c>
      <c r="F29" s="1">
        <v>1</v>
      </c>
      <c r="G29" s="1">
        <v>3</v>
      </c>
      <c r="H29" s="1">
        <v>6</v>
      </c>
      <c r="I29" s="1">
        <v>3</v>
      </c>
      <c r="J29" s="1">
        <v>1</v>
      </c>
      <c r="K29" s="1">
        <v>1</v>
      </c>
      <c r="L29" s="1">
        <v>1</v>
      </c>
      <c r="M29" s="1">
        <v>3</v>
      </c>
      <c r="N29" s="1">
        <v>3</v>
      </c>
      <c r="O29" s="1">
        <v>1</v>
      </c>
      <c r="P29" s="1">
        <v>4</v>
      </c>
      <c r="Q29" s="1">
        <v>2</v>
      </c>
      <c r="R29" s="1">
        <v>2</v>
      </c>
      <c r="S29" s="1">
        <v>1</v>
      </c>
      <c r="T29" s="1">
        <v>1</v>
      </c>
      <c r="U29" s="1">
        <v>1</v>
      </c>
      <c r="V29" s="1">
        <v>1</v>
      </c>
      <c r="W29" s="1">
        <v>1</v>
      </c>
      <c r="X29" s="1">
        <v>1</v>
      </c>
      <c r="Y29" s="1">
        <v>4</v>
      </c>
      <c r="Z29" s="1">
        <v>1</v>
      </c>
      <c r="AA29" s="1">
        <v>1</v>
      </c>
      <c r="AB29" s="1">
        <v>3</v>
      </c>
      <c r="AC29" s="1">
        <v>2</v>
      </c>
      <c r="AD29" s="1">
        <v>1</v>
      </c>
      <c r="AE29" s="1">
        <v>3</v>
      </c>
      <c r="AF29" s="1">
        <v>3</v>
      </c>
    </row>
    <row r="30" spans="1:32" x14ac:dyDescent="0.15">
      <c r="A30" s="1" t="s">
        <v>84</v>
      </c>
      <c r="B30" s="1" t="s">
        <v>85</v>
      </c>
      <c r="C30" s="1">
        <v>4</v>
      </c>
      <c r="D30" s="1">
        <v>1</v>
      </c>
      <c r="E30" s="1">
        <v>1</v>
      </c>
      <c r="F30" s="1">
        <v>1</v>
      </c>
      <c r="G30" s="1">
        <v>1</v>
      </c>
      <c r="H30" s="1">
        <v>4</v>
      </c>
      <c r="I30" s="1">
        <v>1</v>
      </c>
      <c r="J30" s="1">
        <v>1</v>
      </c>
      <c r="K30" s="1">
        <v>3</v>
      </c>
      <c r="L30" s="1">
        <v>1</v>
      </c>
      <c r="M30" s="1">
        <v>2</v>
      </c>
      <c r="N30" s="1">
        <v>4</v>
      </c>
      <c r="O30" s="1">
        <v>1</v>
      </c>
      <c r="P30" s="1">
        <v>1</v>
      </c>
      <c r="Q30" s="1">
        <v>1</v>
      </c>
      <c r="R30" s="1">
        <v>1</v>
      </c>
      <c r="S30" s="1">
        <v>1</v>
      </c>
      <c r="T30" s="1">
        <v>1</v>
      </c>
      <c r="U30" s="1">
        <v>1</v>
      </c>
      <c r="V30" s="1">
        <v>1</v>
      </c>
      <c r="W30" s="1">
        <v>1</v>
      </c>
      <c r="X30" s="1">
        <v>1</v>
      </c>
      <c r="Y30" s="1">
        <v>1</v>
      </c>
      <c r="Z30" s="1">
        <v>2</v>
      </c>
      <c r="AA30" s="1">
        <v>1</v>
      </c>
      <c r="AB30" s="1">
        <v>1</v>
      </c>
      <c r="AC30" s="1">
        <v>1</v>
      </c>
      <c r="AD30" s="1">
        <v>1</v>
      </c>
      <c r="AE30" s="1">
        <v>1</v>
      </c>
      <c r="AF30" s="1">
        <v>3</v>
      </c>
    </row>
    <row r="31" spans="1:32" x14ac:dyDescent="0.15">
      <c r="A31" s="1" t="s">
        <v>86</v>
      </c>
      <c r="B31" s="1" t="s">
        <v>87</v>
      </c>
      <c r="C31" s="1">
        <v>2</v>
      </c>
      <c r="D31" s="1">
        <v>5</v>
      </c>
      <c r="E31" s="1">
        <v>5</v>
      </c>
      <c r="F31" s="1">
        <v>2</v>
      </c>
      <c r="G31" s="1">
        <v>3</v>
      </c>
      <c r="H31" s="1">
        <v>3</v>
      </c>
      <c r="I31" s="1">
        <v>1</v>
      </c>
      <c r="J31" s="1">
        <v>4</v>
      </c>
      <c r="K31" s="1">
        <v>2</v>
      </c>
      <c r="L31" s="1">
        <v>1</v>
      </c>
      <c r="M31" s="1">
        <v>3</v>
      </c>
      <c r="N31" s="1">
        <v>3</v>
      </c>
      <c r="O31" s="1">
        <v>1</v>
      </c>
      <c r="P31" s="1">
        <v>2</v>
      </c>
      <c r="Q31" s="1">
        <v>5</v>
      </c>
      <c r="R31" s="1">
        <v>3</v>
      </c>
      <c r="S31" s="1">
        <v>1</v>
      </c>
      <c r="T31" s="1">
        <v>3</v>
      </c>
      <c r="U31" s="1">
        <v>1</v>
      </c>
      <c r="V31" s="1">
        <v>3</v>
      </c>
      <c r="W31" s="1">
        <v>1</v>
      </c>
      <c r="X31" s="1">
        <v>1</v>
      </c>
      <c r="Y31" s="1">
        <v>3</v>
      </c>
      <c r="Z31" s="1">
        <v>1</v>
      </c>
      <c r="AA31" s="1">
        <v>1</v>
      </c>
      <c r="AB31" s="1">
        <v>1</v>
      </c>
      <c r="AC31" s="1">
        <v>3</v>
      </c>
      <c r="AD31" s="1">
        <v>1</v>
      </c>
      <c r="AE31" s="1">
        <v>2</v>
      </c>
      <c r="AF31" s="1">
        <v>2</v>
      </c>
    </row>
    <row r="32" spans="1:32" x14ac:dyDescent="0.15">
      <c r="A32" s="1" t="s">
        <v>88</v>
      </c>
      <c r="B32" s="1" t="s">
        <v>89</v>
      </c>
      <c r="C32" s="1">
        <v>3</v>
      </c>
      <c r="D32" s="1">
        <v>1</v>
      </c>
      <c r="E32" s="1">
        <v>3</v>
      </c>
      <c r="F32" s="1">
        <v>1</v>
      </c>
      <c r="G32" s="1">
        <v>2</v>
      </c>
      <c r="H32" s="1">
        <v>2</v>
      </c>
      <c r="I32" s="1">
        <v>3</v>
      </c>
      <c r="J32" s="1">
        <v>3</v>
      </c>
      <c r="K32" s="1">
        <v>4</v>
      </c>
      <c r="L32" s="1">
        <v>4</v>
      </c>
      <c r="M32" s="1">
        <v>4</v>
      </c>
      <c r="N32" s="1">
        <v>3</v>
      </c>
      <c r="O32" s="1">
        <v>3</v>
      </c>
      <c r="P32" s="1">
        <v>1</v>
      </c>
      <c r="Q32" s="1">
        <v>2</v>
      </c>
      <c r="R32" s="1">
        <v>1</v>
      </c>
      <c r="S32" s="1">
        <v>1</v>
      </c>
      <c r="T32" s="1">
        <v>1</v>
      </c>
      <c r="U32" s="1">
        <v>2</v>
      </c>
      <c r="V32" s="1">
        <v>5</v>
      </c>
      <c r="W32" s="1">
        <v>3</v>
      </c>
      <c r="X32" s="1">
        <v>3</v>
      </c>
      <c r="Y32" s="1">
        <v>2</v>
      </c>
      <c r="Z32" s="1">
        <v>1</v>
      </c>
      <c r="AA32" s="1">
        <v>1</v>
      </c>
      <c r="AB32" s="1">
        <v>1</v>
      </c>
      <c r="AC32" s="1">
        <v>1</v>
      </c>
      <c r="AD32" s="1">
        <v>1</v>
      </c>
      <c r="AE32" s="1">
        <v>1</v>
      </c>
      <c r="AF32" s="1">
        <v>5</v>
      </c>
    </row>
    <row r="33" spans="1:32" x14ac:dyDescent="0.15">
      <c r="A33" s="1" t="s">
        <v>90</v>
      </c>
      <c r="B33" s="1" t="s">
        <v>91</v>
      </c>
      <c r="C33" s="1">
        <v>4</v>
      </c>
      <c r="D33" s="1">
        <v>5</v>
      </c>
      <c r="E33" s="1">
        <v>1</v>
      </c>
      <c r="F33" s="1">
        <v>1</v>
      </c>
      <c r="G33" s="1">
        <v>3</v>
      </c>
      <c r="H33" s="1">
        <v>3</v>
      </c>
      <c r="I33" s="1">
        <v>1</v>
      </c>
      <c r="J33" s="1">
        <v>1</v>
      </c>
      <c r="K33" s="1">
        <v>3</v>
      </c>
      <c r="L33" s="1">
        <v>1</v>
      </c>
      <c r="M33" s="1">
        <v>2</v>
      </c>
      <c r="N33" s="1">
        <v>5</v>
      </c>
      <c r="O33" s="1">
        <v>1</v>
      </c>
      <c r="P33" s="1">
        <v>1</v>
      </c>
      <c r="Q33" s="1">
        <v>1</v>
      </c>
      <c r="R33" s="1">
        <v>1</v>
      </c>
      <c r="S33" s="1">
        <v>1</v>
      </c>
      <c r="T33" s="1">
        <v>1</v>
      </c>
      <c r="U33" s="1">
        <v>1</v>
      </c>
      <c r="V33" s="1">
        <v>1</v>
      </c>
      <c r="W33" s="1">
        <v>1</v>
      </c>
      <c r="X33" s="1">
        <v>1</v>
      </c>
      <c r="Y33" s="1">
        <v>1</v>
      </c>
      <c r="Z33" s="1">
        <v>2</v>
      </c>
      <c r="AA33" s="1">
        <v>1</v>
      </c>
      <c r="AB33" s="1">
        <v>2</v>
      </c>
      <c r="AC33" s="1">
        <v>1</v>
      </c>
      <c r="AD33" s="1">
        <v>1</v>
      </c>
      <c r="AE33" s="1">
        <v>1</v>
      </c>
      <c r="AF33" s="1">
        <v>1</v>
      </c>
    </row>
    <row r="34" spans="1:32" x14ac:dyDescent="0.15">
      <c r="A34" s="1" t="s">
        <v>92</v>
      </c>
      <c r="B34" s="1" t="s">
        <v>93</v>
      </c>
      <c r="C34" s="1">
        <v>1</v>
      </c>
      <c r="D34" s="1">
        <v>1</v>
      </c>
      <c r="E34" s="1">
        <v>1</v>
      </c>
      <c r="F34" s="1">
        <v>1</v>
      </c>
      <c r="G34" s="1">
        <v>1</v>
      </c>
      <c r="H34" s="1">
        <v>1</v>
      </c>
      <c r="I34" s="1">
        <v>1</v>
      </c>
      <c r="J34" s="1">
        <v>5</v>
      </c>
      <c r="K34" s="1">
        <v>5</v>
      </c>
      <c r="L34" s="1">
        <v>3</v>
      </c>
      <c r="M34" s="1">
        <v>3</v>
      </c>
      <c r="N34" s="1">
        <v>2</v>
      </c>
      <c r="O34" s="1">
        <v>4</v>
      </c>
      <c r="P34" s="1">
        <v>1</v>
      </c>
      <c r="Q34" s="1">
        <v>4</v>
      </c>
      <c r="R34" s="1">
        <v>3</v>
      </c>
      <c r="S34" s="1">
        <v>1</v>
      </c>
      <c r="T34" s="1">
        <v>1</v>
      </c>
      <c r="U34" s="1">
        <v>2</v>
      </c>
      <c r="V34" s="1">
        <v>3</v>
      </c>
      <c r="W34" s="1">
        <v>3</v>
      </c>
      <c r="X34" s="1">
        <v>1</v>
      </c>
      <c r="Y34" s="1">
        <v>1</v>
      </c>
      <c r="Z34" s="1">
        <v>1</v>
      </c>
      <c r="AA34" s="1">
        <v>2</v>
      </c>
      <c r="AB34" s="1">
        <v>1</v>
      </c>
      <c r="AC34" s="1">
        <v>1</v>
      </c>
      <c r="AD34" s="1">
        <v>1</v>
      </c>
      <c r="AE34" s="1">
        <v>2</v>
      </c>
      <c r="AF34" s="1">
        <v>3</v>
      </c>
    </row>
    <row r="35" spans="1:32" x14ac:dyDescent="0.15">
      <c r="A35" s="1" t="s">
        <v>94</v>
      </c>
      <c r="B35" s="1" t="s">
        <v>95</v>
      </c>
      <c r="C35" s="1">
        <v>3</v>
      </c>
      <c r="D35" s="1">
        <v>1</v>
      </c>
      <c r="E35" s="1">
        <v>4</v>
      </c>
      <c r="F35" s="1">
        <v>1</v>
      </c>
      <c r="G35" s="1">
        <v>1</v>
      </c>
      <c r="H35" s="1">
        <v>2</v>
      </c>
      <c r="I35" s="1">
        <v>1</v>
      </c>
      <c r="J35" s="1">
        <v>1</v>
      </c>
      <c r="K35" s="1">
        <v>1</v>
      </c>
      <c r="L35" s="1">
        <v>1</v>
      </c>
      <c r="M35" s="1">
        <v>1</v>
      </c>
      <c r="N35" s="1">
        <v>2</v>
      </c>
      <c r="O35" s="1">
        <v>1</v>
      </c>
      <c r="P35" s="1">
        <v>1</v>
      </c>
      <c r="Q35" s="1">
        <v>3</v>
      </c>
      <c r="R35" s="1">
        <v>3</v>
      </c>
      <c r="S35" s="1">
        <v>4</v>
      </c>
      <c r="T35" s="1">
        <v>1</v>
      </c>
      <c r="U35" s="1">
        <v>1</v>
      </c>
      <c r="V35" s="1">
        <v>4</v>
      </c>
      <c r="W35" s="1">
        <v>1</v>
      </c>
      <c r="X35" s="1">
        <v>1</v>
      </c>
      <c r="Y35" s="1">
        <v>1</v>
      </c>
      <c r="Z35" s="1">
        <v>1</v>
      </c>
      <c r="AA35" s="1">
        <v>1</v>
      </c>
      <c r="AB35" s="1">
        <v>1</v>
      </c>
      <c r="AC35" s="1">
        <v>1</v>
      </c>
      <c r="AD35" s="1">
        <v>1</v>
      </c>
      <c r="AE35" s="1">
        <v>1</v>
      </c>
      <c r="AF35" s="1">
        <v>3</v>
      </c>
    </row>
    <row r="36" spans="1:32" x14ac:dyDescent="0.15">
      <c r="A36" s="1" t="s">
        <v>96</v>
      </c>
      <c r="B36" s="1" t="s">
        <v>97</v>
      </c>
      <c r="C36" s="1">
        <v>4</v>
      </c>
      <c r="D36" s="1">
        <v>3</v>
      </c>
      <c r="E36" s="1">
        <v>3</v>
      </c>
      <c r="F36" s="1">
        <v>1</v>
      </c>
      <c r="G36" s="1">
        <v>2</v>
      </c>
      <c r="H36" s="1">
        <v>3</v>
      </c>
      <c r="I36" s="1">
        <v>1</v>
      </c>
      <c r="J36" s="1">
        <v>1</v>
      </c>
      <c r="K36" s="1">
        <v>2</v>
      </c>
      <c r="L36" s="1">
        <v>1</v>
      </c>
      <c r="M36" s="1">
        <v>2</v>
      </c>
      <c r="N36" s="1">
        <v>3</v>
      </c>
      <c r="O36" s="1">
        <v>1</v>
      </c>
      <c r="P36" s="1">
        <v>2</v>
      </c>
      <c r="Q36" s="1">
        <v>2</v>
      </c>
      <c r="R36" s="1">
        <v>3</v>
      </c>
      <c r="S36" s="1">
        <v>5</v>
      </c>
      <c r="T36" s="1">
        <v>2</v>
      </c>
      <c r="U36" s="1">
        <v>3</v>
      </c>
      <c r="V36" s="1">
        <v>2</v>
      </c>
      <c r="W36" s="1">
        <v>1</v>
      </c>
      <c r="X36" s="1">
        <v>1</v>
      </c>
      <c r="Y36" s="1">
        <v>3</v>
      </c>
      <c r="Z36" s="1">
        <v>1</v>
      </c>
      <c r="AA36" s="1">
        <v>1</v>
      </c>
      <c r="AB36" s="1">
        <v>2</v>
      </c>
      <c r="AC36" s="1">
        <v>1</v>
      </c>
      <c r="AD36" s="1">
        <v>1</v>
      </c>
      <c r="AE36" s="1">
        <v>2</v>
      </c>
      <c r="AF36" s="1">
        <v>3</v>
      </c>
    </row>
    <row r="37" spans="1:32" x14ac:dyDescent="0.15">
      <c r="A37" s="1" t="s">
        <v>98</v>
      </c>
      <c r="B37" s="1" t="s">
        <v>99</v>
      </c>
      <c r="C37" s="1">
        <v>6</v>
      </c>
      <c r="D37" s="1">
        <v>4</v>
      </c>
      <c r="E37" s="1">
        <v>1</v>
      </c>
      <c r="F37" s="1">
        <v>3</v>
      </c>
      <c r="G37" s="1">
        <v>5</v>
      </c>
      <c r="H37" s="1">
        <v>3</v>
      </c>
      <c r="I37" s="1">
        <v>1</v>
      </c>
      <c r="J37" s="1">
        <v>2</v>
      </c>
      <c r="K37" s="1">
        <v>1</v>
      </c>
      <c r="L37" s="1">
        <v>1</v>
      </c>
      <c r="M37" s="1">
        <v>1</v>
      </c>
      <c r="N37" s="1">
        <v>3</v>
      </c>
      <c r="O37" s="1">
        <v>1</v>
      </c>
      <c r="P37" s="1">
        <v>1</v>
      </c>
      <c r="Q37" s="1">
        <v>3</v>
      </c>
      <c r="R37" s="1">
        <v>2</v>
      </c>
      <c r="S37" s="1">
        <v>5</v>
      </c>
      <c r="T37" s="1">
        <v>1</v>
      </c>
      <c r="U37" s="1">
        <v>1</v>
      </c>
      <c r="V37" s="1">
        <v>1</v>
      </c>
      <c r="W37" s="1">
        <v>1</v>
      </c>
      <c r="X37" s="1">
        <v>1</v>
      </c>
      <c r="Y37" s="1">
        <v>3</v>
      </c>
      <c r="Z37" s="1">
        <v>1</v>
      </c>
      <c r="AA37" s="1">
        <v>1</v>
      </c>
      <c r="AB37" s="1">
        <v>4</v>
      </c>
      <c r="AC37" s="1">
        <v>1</v>
      </c>
      <c r="AD37" s="1">
        <v>1</v>
      </c>
      <c r="AE37" s="1">
        <v>1</v>
      </c>
      <c r="AF37" s="1">
        <v>1</v>
      </c>
    </row>
    <row r="38" spans="1:32" x14ac:dyDescent="0.15">
      <c r="A38" s="1" t="s">
        <v>100</v>
      </c>
      <c r="B38" s="1" t="s">
        <v>101</v>
      </c>
      <c r="C38" s="1">
        <v>1</v>
      </c>
      <c r="D38" s="1">
        <v>1</v>
      </c>
      <c r="E38" s="1">
        <v>4</v>
      </c>
      <c r="F38" s="1">
        <v>1</v>
      </c>
      <c r="G38" s="1">
        <v>1</v>
      </c>
      <c r="H38" s="1">
        <v>1</v>
      </c>
      <c r="I38" s="1">
        <v>1</v>
      </c>
      <c r="J38" s="1">
        <v>2</v>
      </c>
      <c r="K38" s="1">
        <v>2</v>
      </c>
      <c r="L38" s="1">
        <v>1</v>
      </c>
      <c r="M38" s="1">
        <v>3</v>
      </c>
      <c r="N38" s="1">
        <v>2</v>
      </c>
      <c r="O38" s="1">
        <v>1</v>
      </c>
      <c r="P38" s="1">
        <v>1</v>
      </c>
      <c r="Q38" s="1">
        <v>1</v>
      </c>
      <c r="R38" s="1">
        <v>1</v>
      </c>
      <c r="S38" s="1">
        <v>3</v>
      </c>
      <c r="T38" s="1">
        <v>1</v>
      </c>
      <c r="U38" s="1">
        <v>1</v>
      </c>
      <c r="V38" s="1">
        <v>1</v>
      </c>
      <c r="W38" s="1">
        <v>1</v>
      </c>
      <c r="X38" s="1">
        <v>1</v>
      </c>
      <c r="Y38" s="1">
        <v>1</v>
      </c>
      <c r="Z38" s="1">
        <v>1</v>
      </c>
      <c r="AA38" s="1">
        <v>1</v>
      </c>
      <c r="AB38" s="1">
        <v>2</v>
      </c>
      <c r="AC38" s="1">
        <v>1</v>
      </c>
      <c r="AD38" s="1">
        <v>1</v>
      </c>
      <c r="AE38" s="1">
        <v>1</v>
      </c>
      <c r="AF38" s="1">
        <v>1</v>
      </c>
    </row>
    <row r="39" spans="1:32" x14ac:dyDescent="0.15">
      <c r="A39" s="1" t="s">
        <v>102</v>
      </c>
      <c r="B39" s="1" t="s">
        <v>103</v>
      </c>
      <c r="C39" s="1">
        <v>5</v>
      </c>
      <c r="D39" s="1">
        <v>1</v>
      </c>
      <c r="E39" s="1">
        <v>4</v>
      </c>
      <c r="F39" s="1">
        <v>2</v>
      </c>
      <c r="G39" s="1">
        <v>1</v>
      </c>
      <c r="H39" s="1">
        <v>3</v>
      </c>
      <c r="I39" s="1">
        <v>2</v>
      </c>
      <c r="J39" s="1">
        <v>2</v>
      </c>
      <c r="K39" s="1">
        <v>1</v>
      </c>
      <c r="L39" s="1">
        <v>1</v>
      </c>
      <c r="M39" s="1">
        <v>1</v>
      </c>
      <c r="N39" s="1">
        <v>1</v>
      </c>
      <c r="O39" s="1">
        <v>2</v>
      </c>
      <c r="P39" s="1">
        <v>1</v>
      </c>
      <c r="Q39" s="1">
        <v>6</v>
      </c>
      <c r="R39" s="1">
        <v>3</v>
      </c>
      <c r="S39" s="1">
        <v>1</v>
      </c>
      <c r="T39" s="1">
        <v>1</v>
      </c>
      <c r="U39" s="1">
        <v>1</v>
      </c>
      <c r="V39" s="1">
        <v>3</v>
      </c>
      <c r="W39" s="1">
        <v>1</v>
      </c>
      <c r="X39" s="1">
        <v>2</v>
      </c>
      <c r="Y39" s="1">
        <v>1</v>
      </c>
      <c r="Z39" s="1">
        <v>1</v>
      </c>
      <c r="AA39" s="1">
        <v>1</v>
      </c>
      <c r="AB39" s="1">
        <v>1</v>
      </c>
      <c r="AC39" s="1">
        <v>1</v>
      </c>
      <c r="AD39" s="1">
        <v>1</v>
      </c>
      <c r="AE39" s="1">
        <v>1</v>
      </c>
      <c r="AF39" s="1">
        <v>1</v>
      </c>
    </row>
    <row r="40" spans="1:32" x14ac:dyDescent="0.15">
      <c r="A40" s="1" t="s">
        <v>104</v>
      </c>
      <c r="B40" s="1" t="s">
        <v>105</v>
      </c>
      <c r="C40" s="1">
        <v>3</v>
      </c>
      <c r="D40" s="1">
        <v>2</v>
      </c>
      <c r="E40" s="1">
        <v>3</v>
      </c>
      <c r="F40" s="1">
        <v>1</v>
      </c>
      <c r="G40" s="1">
        <v>1</v>
      </c>
      <c r="H40" s="1">
        <v>4</v>
      </c>
      <c r="I40" s="1">
        <v>3</v>
      </c>
      <c r="J40" s="1">
        <v>5</v>
      </c>
      <c r="K40" s="1">
        <v>4</v>
      </c>
      <c r="L40" s="1">
        <v>3</v>
      </c>
      <c r="M40" s="1">
        <v>5</v>
      </c>
      <c r="N40" s="1">
        <v>1</v>
      </c>
      <c r="O40" s="1">
        <v>1</v>
      </c>
      <c r="P40" s="1">
        <v>1</v>
      </c>
      <c r="Q40" s="1">
        <v>2</v>
      </c>
      <c r="R40" s="1">
        <v>1</v>
      </c>
      <c r="S40" s="1">
        <v>2</v>
      </c>
      <c r="T40" s="1">
        <v>3</v>
      </c>
      <c r="U40" s="1">
        <v>1</v>
      </c>
      <c r="V40" s="1">
        <v>4</v>
      </c>
      <c r="W40" s="1">
        <v>4</v>
      </c>
      <c r="X40" s="1">
        <v>1</v>
      </c>
      <c r="Y40" s="1">
        <v>1</v>
      </c>
      <c r="Z40" s="1">
        <v>1</v>
      </c>
      <c r="AA40" s="1">
        <v>1</v>
      </c>
      <c r="AB40" s="1">
        <v>2</v>
      </c>
      <c r="AC40" s="1">
        <v>1</v>
      </c>
      <c r="AD40" s="1">
        <v>1</v>
      </c>
      <c r="AE40" s="1">
        <v>1</v>
      </c>
      <c r="AF40" s="1">
        <v>4</v>
      </c>
    </row>
    <row r="41" spans="1:32" x14ac:dyDescent="0.15">
      <c r="A41" s="1" t="s">
        <v>106</v>
      </c>
      <c r="B41" s="1" t="s">
        <v>107</v>
      </c>
      <c r="C41" s="1">
        <v>1</v>
      </c>
      <c r="D41" s="1">
        <v>1</v>
      </c>
      <c r="E41" s="1">
        <v>1</v>
      </c>
      <c r="F41" s="1">
        <v>1</v>
      </c>
      <c r="G41" s="1">
        <v>1</v>
      </c>
      <c r="H41" s="1">
        <v>1</v>
      </c>
      <c r="I41" s="1">
        <v>1</v>
      </c>
      <c r="J41" s="1">
        <v>1</v>
      </c>
      <c r="K41" s="1">
        <v>2</v>
      </c>
      <c r="L41" s="1">
        <v>1</v>
      </c>
      <c r="M41" s="1">
        <v>1</v>
      </c>
      <c r="N41" s="1">
        <v>4</v>
      </c>
      <c r="O41" s="1">
        <v>3</v>
      </c>
      <c r="P41" s="1">
        <v>1</v>
      </c>
      <c r="Q41" s="1">
        <v>2</v>
      </c>
      <c r="R41" s="1">
        <v>2</v>
      </c>
      <c r="S41" s="1">
        <v>3</v>
      </c>
      <c r="T41" s="1">
        <v>1</v>
      </c>
      <c r="U41" s="1">
        <v>1</v>
      </c>
      <c r="V41" s="1">
        <v>1</v>
      </c>
      <c r="W41" s="1">
        <v>1</v>
      </c>
      <c r="X41" s="1">
        <v>1</v>
      </c>
      <c r="Y41" s="1">
        <v>1</v>
      </c>
      <c r="Z41" s="1">
        <v>3</v>
      </c>
      <c r="AA41" s="1">
        <v>1</v>
      </c>
      <c r="AB41" s="1">
        <v>1</v>
      </c>
      <c r="AC41" s="1">
        <v>1</v>
      </c>
      <c r="AD41" s="1">
        <v>1</v>
      </c>
      <c r="AE41" s="1">
        <v>1</v>
      </c>
      <c r="AF41" s="1">
        <v>1</v>
      </c>
    </row>
    <row r="42" spans="1:32" x14ac:dyDescent="0.15">
      <c r="A42" s="1" t="s">
        <v>108</v>
      </c>
      <c r="B42" s="1" t="s">
        <v>109</v>
      </c>
      <c r="C42" s="1">
        <v>4</v>
      </c>
      <c r="D42" s="1">
        <v>3</v>
      </c>
      <c r="E42" s="1">
        <v>4</v>
      </c>
      <c r="F42" s="1">
        <v>3</v>
      </c>
      <c r="G42" s="1">
        <v>3</v>
      </c>
      <c r="H42" s="1">
        <v>2</v>
      </c>
      <c r="I42" s="1">
        <v>2</v>
      </c>
      <c r="J42" s="1">
        <v>1</v>
      </c>
      <c r="K42" s="1">
        <v>1</v>
      </c>
      <c r="L42" s="1">
        <v>1</v>
      </c>
      <c r="M42" s="1">
        <v>1</v>
      </c>
      <c r="N42" s="1">
        <v>3</v>
      </c>
      <c r="O42" s="1">
        <v>1</v>
      </c>
      <c r="P42" s="1">
        <v>1</v>
      </c>
      <c r="Q42" s="1">
        <v>1</v>
      </c>
      <c r="R42" s="1">
        <v>3</v>
      </c>
      <c r="S42" s="1">
        <v>4</v>
      </c>
      <c r="T42" s="1">
        <v>1</v>
      </c>
      <c r="U42" s="1">
        <v>1</v>
      </c>
      <c r="V42" s="1">
        <v>3</v>
      </c>
      <c r="W42" s="1">
        <v>1</v>
      </c>
      <c r="X42" s="1">
        <v>1</v>
      </c>
      <c r="Y42" s="1">
        <v>3</v>
      </c>
      <c r="Z42" s="1">
        <v>3</v>
      </c>
      <c r="AA42" s="1">
        <v>1</v>
      </c>
      <c r="AB42" s="1">
        <v>4</v>
      </c>
      <c r="AC42" s="1">
        <v>1</v>
      </c>
      <c r="AD42" s="1">
        <v>3</v>
      </c>
      <c r="AE42" s="1">
        <v>1</v>
      </c>
      <c r="AF42" s="1">
        <v>1</v>
      </c>
    </row>
    <row r="43" spans="1:32" x14ac:dyDescent="0.15">
      <c r="A43" s="1" t="s">
        <v>110</v>
      </c>
      <c r="B43" s="1" t="s">
        <v>111</v>
      </c>
      <c r="C43" s="1">
        <v>2</v>
      </c>
      <c r="D43" s="1">
        <v>1</v>
      </c>
      <c r="E43" s="1">
        <v>3</v>
      </c>
      <c r="F43" s="1">
        <v>1</v>
      </c>
      <c r="G43" s="1">
        <v>2</v>
      </c>
      <c r="H43" s="1">
        <v>3</v>
      </c>
      <c r="I43" s="1">
        <v>1</v>
      </c>
      <c r="J43" s="1">
        <v>1</v>
      </c>
      <c r="K43" s="1">
        <v>2</v>
      </c>
      <c r="L43" s="1">
        <v>1</v>
      </c>
      <c r="M43" s="1">
        <v>2</v>
      </c>
      <c r="N43" s="1">
        <v>1</v>
      </c>
      <c r="O43" s="1">
        <v>1</v>
      </c>
      <c r="P43" s="1">
        <v>1</v>
      </c>
      <c r="Q43" s="1">
        <v>2</v>
      </c>
      <c r="R43" s="1">
        <v>3</v>
      </c>
      <c r="S43" s="1">
        <v>2</v>
      </c>
      <c r="T43" s="1">
        <v>3</v>
      </c>
      <c r="U43" s="1">
        <v>1</v>
      </c>
      <c r="V43" s="1">
        <v>2</v>
      </c>
      <c r="W43" s="1">
        <v>1</v>
      </c>
      <c r="X43" s="1">
        <v>1</v>
      </c>
      <c r="Y43" s="1">
        <v>2</v>
      </c>
      <c r="Z43" s="1">
        <v>1</v>
      </c>
      <c r="AA43" s="1">
        <v>1</v>
      </c>
      <c r="AB43" s="1">
        <v>1</v>
      </c>
      <c r="AC43" s="1">
        <v>1</v>
      </c>
      <c r="AD43" s="1">
        <v>1</v>
      </c>
      <c r="AE43" s="1">
        <v>1</v>
      </c>
      <c r="AF43" s="1">
        <v>3</v>
      </c>
    </row>
    <row r="44" spans="1:32" x14ac:dyDescent="0.15">
      <c r="A44" s="1" t="s">
        <v>112</v>
      </c>
      <c r="B44" s="1" t="s">
        <v>113</v>
      </c>
      <c r="C44" s="1">
        <v>4</v>
      </c>
      <c r="D44" s="1">
        <v>3</v>
      </c>
      <c r="E44" s="1">
        <v>4</v>
      </c>
      <c r="F44" s="1">
        <v>1</v>
      </c>
      <c r="G44" s="1">
        <v>4</v>
      </c>
      <c r="H44" s="1">
        <v>2</v>
      </c>
      <c r="I44" s="1">
        <v>1</v>
      </c>
      <c r="J44" s="1">
        <v>1</v>
      </c>
      <c r="K44" s="1">
        <v>1</v>
      </c>
      <c r="L44" s="1">
        <v>1</v>
      </c>
      <c r="M44" s="1">
        <v>2</v>
      </c>
      <c r="N44" s="1">
        <v>3</v>
      </c>
      <c r="O44" s="1">
        <v>1</v>
      </c>
      <c r="P44" s="1">
        <v>1</v>
      </c>
      <c r="Q44" s="1">
        <v>3</v>
      </c>
      <c r="R44" s="1">
        <v>4</v>
      </c>
      <c r="S44" s="1">
        <v>5</v>
      </c>
      <c r="T44" s="1">
        <v>1</v>
      </c>
      <c r="U44" s="1">
        <v>1</v>
      </c>
      <c r="V44" s="1">
        <v>3</v>
      </c>
      <c r="W44" s="1">
        <v>1</v>
      </c>
      <c r="X44" s="1">
        <v>1</v>
      </c>
      <c r="Y44" s="1">
        <v>3</v>
      </c>
      <c r="Z44" s="1">
        <v>1</v>
      </c>
      <c r="AA44" s="1">
        <v>1</v>
      </c>
      <c r="AB44" s="1">
        <v>2</v>
      </c>
      <c r="AC44" s="1">
        <v>3</v>
      </c>
      <c r="AD44" s="1">
        <v>1</v>
      </c>
      <c r="AE44" s="1">
        <v>1</v>
      </c>
      <c r="AF44" s="1">
        <v>2</v>
      </c>
    </row>
    <row r="45" spans="1:32" x14ac:dyDescent="0.15">
      <c r="A45" s="1" t="s">
        <v>114</v>
      </c>
      <c r="B45" s="1" t="s">
        <v>115</v>
      </c>
      <c r="C45" s="1">
        <v>3</v>
      </c>
      <c r="D45" s="1">
        <v>2</v>
      </c>
      <c r="E45" s="1">
        <v>3</v>
      </c>
      <c r="F45" s="1">
        <v>4</v>
      </c>
      <c r="G45" s="1">
        <v>2</v>
      </c>
      <c r="H45" s="1">
        <v>3</v>
      </c>
      <c r="I45" s="1">
        <v>4</v>
      </c>
      <c r="J45" s="1">
        <v>2</v>
      </c>
      <c r="K45" s="1">
        <v>3</v>
      </c>
      <c r="L45" s="1">
        <v>2</v>
      </c>
      <c r="M45" s="1">
        <v>3</v>
      </c>
      <c r="N45" s="1">
        <v>4</v>
      </c>
      <c r="O45" s="1">
        <v>3</v>
      </c>
      <c r="P45" s="1">
        <v>2</v>
      </c>
      <c r="Q45" s="1">
        <v>2</v>
      </c>
      <c r="R45" s="1">
        <v>3</v>
      </c>
      <c r="S45" s="1">
        <v>3</v>
      </c>
      <c r="T45" s="1">
        <v>3</v>
      </c>
      <c r="U45" s="1">
        <v>1</v>
      </c>
      <c r="V45" s="1">
        <v>4</v>
      </c>
      <c r="W45" s="1">
        <v>2</v>
      </c>
      <c r="X45" s="1">
        <v>1</v>
      </c>
      <c r="Y45" s="1">
        <v>3</v>
      </c>
      <c r="Z45" s="1">
        <v>3</v>
      </c>
      <c r="AA45" s="1">
        <v>2</v>
      </c>
      <c r="AB45" s="1">
        <v>2</v>
      </c>
      <c r="AC45" s="1">
        <v>3</v>
      </c>
      <c r="AD45" s="1">
        <v>3</v>
      </c>
      <c r="AE45" s="1">
        <v>1</v>
      </c>
      <c r="AF45" s="1">
        <v>2</v>
      </c>
    </row>
    <row r="46" spans="1:32" x14ac:dyDescent="0.15">
      <c r="A46" s="1" t="s">
        <v>116</v>
      </c>
      <c r="B46" s="1" t="s">
        <v>117</v>
      </c>
      <c r="C46" s="1">
        <v>4</v>
      </c>
      <c r="D46" s="1">
        <v>2</v>
      </c>
      <c r="E46" s="1">
        <v>5</v>
      </c>
      <c r="F46" s="1">
        <v>1</v>
      </c>
      <c r="G46" s="1">
        <v>1</v>
      </c>
      <c r="H46" s="1">
        <v>2</v>
      </c>
      <c r="I46" s="1">
        <v>1</v>
      </c>
      <c r="J46" s="1">
        <v>4</v>
      </c>
      <c r="K46" s="1">
        <v>4</v>
      </c>
      <c r="L46" s="1">
        <v>1</v>
      </c>
      <c r="M46" s="1">
        <v>2</v>
      </c>
      <c r="N46" s="1">
        <v>3</v>
      </c>
      <c r="O46" s="1">
        <v>1</v>
      </c>
      <c r="P46" s="1">
        <v>1</v>
      </c>
      <c r="Q46" s="1">
        <v>1</v>
      </c>
      <c r="R46" s="1">
        <v>2</v>
      </c>
      <c r="S46" s="1">
        <v>4</v>
      </c>
      <c r="T46" s="1">
        <v>2</v>
      </c>
      <c r="U46" s="1">
        <v>2</v>
      </c>
      <c r="V46" s="1">
        <v>4</v>
      </c>
      <c r="W46" s="1">
        <v>3</v>
      </c>
      <c r="X46" s="1">
        <v>1</v>
      </c>
      <c r="Y46" s="1">
        <v>3</v>
      </c>
      <c r="Z46" s="1">
        <v>2</v>
      </c>
      <c r="AA46" s="1">
        <v>1</v>
      </c>
      <c r="AB46" s="1">
        <v>1</v>
      </c>
      <c r="AC46" s="1">
        <v>2</v>
      </c>
      <c r="AD46" s="1">
        <v>1</v>
      </c>
      <c r="AE46" s="1">
        <v>1</v>
      </c>
      <c r="AF46" s="1">
        <v>3</v>
      </c>
    </row>
    <row r="47" spans="1:32" x14ac:dyDescent="0.15">
      <c r="A47" s="1" t="s">
        <v>118</v>
      </c>
      <c r="B47" s="1" t="s">
        <v>119</v>
      </c>
      <c r="C47" s="1">
        <v>5</v>
      </c>
      <c r="D47" s="1">
        <v>3</v>
      </c>
      <c r="E47" s="1">
        <v>5</v>
      </c>
      <c r="F47" s="1">
        <v>1</v>
      </c>
      <c r="G47" s="1">
        <v>2</v>
      </c>
      <c r="H47" s="1">
        <v>4</v>
      </c>
      <c r="I47" s="1">
        <v>1</v>
      </c>
      <c r="J47" s="1">
        <v>5</v>
      </c>
      <c r="K47" s="1">
        <v>3</v>
      </c>
      <c r="L47" s="1">
        <v>2</v>
      </c>
      <c r="M47" s="1">
        <v>4</v>
      </c>
      <c r="N47" s="1">
        <v>3</v>
      </c>
      <c r="O47" s="1">
        <v>1</v>
      </c>
      <c r="P47" s="1">
        <v>2</v>
      </c>
      <c r="Q47" s="1">
        <v>3</v>
      </c>
      <c r="R47" s="1">
        <v>4</v>
      </c>
      <c r="S47" s="1">
        <v>4</v>
      </c>
      <c r="T47" s="1">
        <v>3</v>
      </c>
      <c r="U47" s="1">
        <v>2</v>
      </c>
      <c r="V47" s="1">
        <v>4</v>
      </c>
      <c r="W47" s="1">
        <v>5</v>
      </c>
      <c r="X47" s="1">
        <v>1</v>
      </c>
      <c r="Y47" s="1">
        <v>5</v>
      </c>
      <c r="Z47" s="1">
        <v>3</v>
      </c>
      <c r="AA47" s="1">
        <v>3</v>
      </c>
      <c r="AB47" s="1">
        <v>2</v>
      </c>
      <c r="AC47" s="1">
        <v>3</v>
      </c>
      <c r="AD47" s="1">
        <v>1</v>
      </c>
      <c r="AE47" s="1">
        <v>4</v>
      </c>
      <c r="AF47" s="1">
        <v>2</v>
      </c>
    </row>
    <row r="48" spans="1:32" x14ac:dyDescent="0.15">
      <c r="A48" s="1" t="s">
        <v>120</v>
      </c>
      <c r="B48" s="1" t="s">
        <v>121</v>
      </c>
      <c r="C48" s="1">
        <v>3</v>
      </c>
      <c r="D48" s="1">
        <v>2</v>
      </c>
      <c r="E48" s="1">
        <v>4</v>
      </c>
      <c r="F48" s="1">
        <v>2</v>
      </c>
      <c r="G48" s="1">
        <v>2</v>
      </c>
      <c r="H48" s="1">
        <v>3</v>
      </c>
      <c r="I48" s="1">
        <v>1</v>
      </c>
      <c r="J48" s="1">
        <v>3</v>
      </c>
      <c r="K48" s="1">
        <v>1</v>
      </c>
      <c r="L48" s="1">
        <v>1</v>
      </c>
      <c r="M48" s="1">
        <v>3</v>
      </c>
      <c r="N48" s="1">
        <v>3</v>
      </c>
      <c r="O48" s="1">
        <v>1</v>
      </c>
      <c r="P48" s="1">
        <v>1</v>
      </c>
      <c r="Q48" s="1">
        <v>1</v>
      </c>
      <c r="R48" s="1">
        <v>3</v>
      </c>
      <c r="S48" s="1">
        <v>3</v>
      </c>
      <c r="T48" s="1">
        <v>3</v>
      </c>
      <c r="U48" s="1">
        <v>2</v>
      </c>
      <c r="V48" s="1">
        <v>5</v>
      </c>
      <c r="W48" s="1">
        <v>3</v>
      </c>
      <c r="X48" s="1">
        <v>1</v>
      </c>
      <c r="Y48" s="1">
        <v>3</v>
      </c>
      <c r="Z48" s="1">
        <v>1</v>
      </c>
      <c r="AA48" s="1">
        <v>2</v>
      </c>
      <c r="AB48" s="1">
        <v>2</v>
      </c>
      <c r="AC48" s="1">
        <v>3</v>
      </c>
      <c r="AD48" s="1">
        <v>1</v>
      </c>
      <c r="AE48" s="1">
        <v>1</v>
      </c>
      <c r="AF48" s="1">
        <v>3</v>
      </c>
    </row>
    <row r="49" spans="1:32" x14ac:dyDescent="0.15">
      <c r="A49" s="1" t="s">
        <v>122</v>
      </c>
      <c r="B49" s="1" t="s">
        <v>123</v>
      </c>
      <c r="C49" s="1">
        <v>3</v>
      </c>
      <c r="D49" s="1">
        <v>1</v>
      </c>
      <c r="E49" s="1">
        <v>4</v>
      </c>
      <c r="F49" s="1">
        <v>1</v>
      </c>
      <c r="G49" s="1">
        <v>1</v>
      </c>
      <c r="H49" s="1">
        <v>4</v>
      </c>
      <c r="I49" s="1">
        <v>1</v>
      </c>
      <c r="J49" s="1">
        <v>5</v>
      </c>
      <c r="K49" s="1">
        <v>2</v>
      </c>
      <c r="L49" s="1">
        <v>3</v>
      </c>
      <c r="M49" s="1">
        <v>4</v>
      </c>
      <c r="N49" s="1">
        <v>5</v>
      </c>
      <c r="O49" s="1">
        <v>5</v>
      </c>
      <c r="P49" s="1">
        <v>3</v>
      </c>
      <c r="Q49" s="1">
        <v>1</v>
      </c>
      <c r="R49" s="1">
        <v>3</v>
      </c>
      <c r="S49" s="1">
        <v>5</v>
      </c>
      <c r="T49" s="1">
        <v>3</v>
      </c>
      <c r="U49" s="1">
        <v>4</v>
      </c>
      <c r="V49" s="1">
        <v>4</v>
      </c>
      <c r="W49" s="1">
        <v>4</v>
      </c>
      <c r="X49" s="1" t="s">
        <v>124</v>
      </c>
      <c r="Y49" s="1">
        <v>3</v>
      </c>
      <c r="Z49" s="1">
        <v>3</v>
      </c>
      <c r="AA49" s="1">
        <v>1</v>
      </c>
      <c r="AB49" s="1">
        <v>4</v>
      </c>
      <c r="AC49" s="1">
        <v>3</v>
      </c>
      <c r="AD49" s="1">
        <v>1</v>
      </c>
      <c r="AE49" s="1">
        <v>2</v>
      </c>
      <c r="AF49" s="1">
        <v>2</v>
      </c>
    </row>
    <row r="50" spans="1:32" x14ac:dyDescent="0.15">
      <c r="A50" s="1" t="s">
        <v>125</v>
      </c>
      <c r="B50" s="1" t="s">
        <v>126</v>
      </c>
      <c r="C50" s="1">
        <v>5</v>
      </c>
      <c r="D50" s="1">
        <v>2</v>
      </c>
      <c r="E50" s="1">
        <v>3</v>
      </c>
      <c r="F50" s="1">
        <v>3</v>
      </c>
      <c r="G50" s="1">
        <v>2</v>
      </c>
      <c r="H50" s="1">
        <v>4</v>
      </c>
      <c r="I50" s="1">
        <v>2</v>
      </c>
      <c r="J50" s="1">
        <v>3</v>
      </c>
      <c r="K50" s="1">
        <v>2</v>
      </c>
      <c r="L50" s="1">
        <v>1</v>
      </c>
      <c r="M50" s="1">
        <v>2</v>
      </c>
      <c r="N50" s="1">
        <v>3</v>
      </c>
      <c r="O50" s="1">
        <v>1</v>
      </c>
      <c r="P50" s="1">
        <v>2</v>
      </c>
      <c r="Q50" s="1">
        <v>4</v>
      </c>
      <c r="R50" s="1">
        <v>4</v>
      </c>
      <c r="S50" s="1">
        <v>3</v>
      </c>
      <c r="T50" s="1">
        <v>3</v>
      </c>
      <c r="U50" s="1">
        <v>3</v>
      </c>
      <c r="V50" s="1">
        <v>3</v>
      </c>
      <c r="W50" s="1">
        <v>1</v>
      </c>
      <c r="X50" s="1">
        <v>1</v>
      </c>
      <c r="Y50" s="1">
        <v>5</v>
      </c>
      <c r="Z50" s="1">
        <v>1</v>
      </c>
      <c r="AA50" s="1">
        <v>2</v>
      </c>
      <c r="AB50" s="1">
        <v>2</v>
      </c>
      <c r="AC50" s="1">
        <v>3</v>
      </c>
      <c r="AD50" s="1">
        <v>2</v>
      </c>
      <c r="AE50" s="1">
        <v>2</v>
      </c>
      <c r="AF50" s="1">
        <v>2</v>
      </c>
    </row>
    <row r="51" spans="1:32" x14ac:dyDescent="0.15">
      <c r="A51" s="1" t="s">
        <v>127</v>
      </c>
      <c r="B51" s="1" t="s">
        <v>128</v>
      </c>
      <c r="C51" s="1">
        <v>3</v>
      </c>
      <c r="D51" s="1">
        <v>2</v>
      </c>
      <c r="E51" s="1">
        <v>3</v>
      </c>
      <c r="F51" s="1">
        <v>1</v>
      </c>
      <c r="G51" s="1">
        <v>2</v>
      </c>
      <c r="H51" s="1">
        <v>2</v>
      </c>
      <c r="I51" s="1">
        <v>2</v>
      </c>
      <c r="J51" s="1">
        <v>4</v>
      </c>
      <c r="K51" s="1">
        <v>3</v>
      </c>
      <c r="L51" s="1">
        <v>2</v>
      </c>
      <c r="M51" s="1">
        <v>2</v>
      </c>
      <c r="N51" s="1">
        <v>3</v>
      </c>
      <c r="O51" s="1">
        <v>3</v>
      </c>
      <c r="P51" s="1">
        <v>1</v>
      </c>
      <c r="Q51" s="1">
        <v>2</v>
      </c>
      <c r="R51" s="1">
        <v>4</v>
      </c>
      <c r="S51" s="1">
        <v>4</v>
      </c>
      <c r="T51" s="1">
        <v>3</v>
      </c>
      <c r="U51" s="1">
        <v>3</v>
      </c>
      <c r="V51" s="1">
        <v>4</v>
      </c>
      <c r="W51" s="1">
        <v>4</v>
      </c>
      <c r="X51" s="1">
        <v>1</v>
      </c>
      <c r="Y51" s="1">
        <v>2</v>
      </c>
      <c r="Z51" s="1">
        <v>2</v>
      </c>
      <c r="AA51" s="1">
        <v>2</v>
      </c>
      <c r="AB51" s="1">
        <v>2</v>
      </c>
      <c r="AC51" s="1">
        <v>3</v>
      </c>
      <c r="AD51" s="1">
        <v>1</v>
      </c>
      <c r="AE51" s="1">
        <v>2</v>
      </c>
      <c r="AF51" s="1">
        <v>2</v>
      </c>
    </row>
    <row r="52" spans="1:32" x14ac:dyDescent="0.15">
      <c r="A52" s="1" t="s">
        <v>129</v>
      </c>
      <c r="B52" s="1" t="s">
        <v>130</v>
      </c>
      <c r="C52" s="1">
        <v>5</v>
      </c>
      <c r="D52" s="1">
        <v>2</v>
      </c>
      <c r="E52" s="1">
        <v>3</v>
      </c>
      <c r="F52" s="1">
        <v>3</v>
      </c>
      <c r="G52" s="1">
        <v>3</v>
      </c>
      <c r="H52" s="1">
        <v>4</v>
      </c>
      <c r="I52" s="1">
        <v>1</v>
      </c>
      <c r="J52" s="1">
        <v>1</v>
      </c>
      <c r="K52" s="1">
        <v>2</v>
      </c>
      <c r="L52" s="1">
        <v>1</v>
      </c>
      <c r="M52" s="1">
        <v>3</v>
      </c>
      <c r="N52" s="1">
        <v>6</v>
      </c>
      <c r="O52" s="1">
        <v>1</v>
      </c>
      <c r="P52" s="1">
        <v>1</v>
      </c>
      <c r="Q52" s="1">
        <v>2</v>
      </c>
      <c r="R52" s="1">
        <v>4</v>
      </c>
      <c r="S52" s="1">
        <v>2</v>
      </c>
      <c r="T52" s="1">
        <v>4</v>
      </c>
      <c r="U52" s="1">
        <v>3</v>
      </c>
      <c r="V52" s="1">
        <v>2</v>
      </c>
      <c r="W52" s="1">
        <v>3</v>
      </c>
      <c r="X52" s="1">
        <v>1</v>
      </c>
      <c r="Y52" s="1">
        <v>4</v>
      </c>
      <c r="Z52" s="1">
        <v>2</v>
      </c>
      <c r="AA52" s="1">
        <v>3</v>
      </c>
      <c r="AB52" s="1">
        <v>2</v>
      </c>
      <c r="AC52" s="1">
        <v>2</v>
      </c>
      <c r="AD52" s="1">
        <v>1</v>
      </c>
      <c r="AE52" s="1">
        <v>2</v>
      </c>
      <c r="AF52" s="1">
        <v>3</v>
      </c>
    </row>
    <row r="53" spans="1:32" x14ac:dyDescent="0.15">
      <c r="A53" s="1" t="s">
        <v>131</v>
      </c>
      <c r="B53" s="1" t="s">
        <v>132</v>
      </c>
      <c r="C53" s="1">
        <v>2</v>
      </c>
      <c r="D53" s="1">
        <v>1</v>
      </c>
      <c r="E53" s="1">
        <v>4</v>
      </c>
      <c r="F53" s="1">
        <v>1</v>
      </c>
      <c r="G53" s="1">
        <v>1</v>
      </c>
      <c r="H53" s="1">
        <v>1</v>
      </c>
      <c r="I53" s="1">
        <v>1</v>
      </c>
      <c r="J53" s="1">
        <v>7</v>
      </c>
      <c r="K53" s="1">
        <v>5</v>
      </c>
      <c r="L53" s="1">
        <v>1</v>
      </c>
      <c r="M53" s="1">
        <v>6</v>
      </c>
      <c r="N53" s="1">
        <v>3</v>
      </c>
      <c r="O53" s="1">
        <v>6</v>
      </c>
      <c r="P53" s="1">
        <v>1</v>
      </c>
      <c r="Q53" s="1">
        <v>1</v>
      </c>
      <c r="R53" s="1">
        <v>4</v>
      </c>
      <c r="S53" s="1">
        <v>1</v>
      </c>
      <c r="T53" s="1">
        <v>2</v>
      </c>
      <c r="U53" s="1">
        <v>3</v>
      </c>
      <c r="V53" s="1">
        <v>1</v>
      </c>
      <c r="W53" s="1">
        <v>4</v>
      </c>
      <c r="X53" s="1">
        <v>1</v>
      </c>
      <c r="Y53" s="1">
        <v>1</v>
      </c>
      <c r="Z53" s="1">
        <v>3</v>
      </c>
      <c r="AA53" s="1">
        <v>1</v>
      </c>
      <c r="AB53" s="1">
        <v>1</v>
      </c>
      <c r="AC53" s="1">
        <v>1</v>
      </c>
      <c r="AD53" s="1">
        <v>1</v>
      </c>
      <c r="AE53" s="1">
        <v>5</v>
      </c>
      <c r="AF53" s="1">
        <v>1</v>
      </c>
    </row>
    <row r="54" spans="1:32" x14ac:dyDescent="0.15">
      <c r="A54" s="1" t="s">
        <v>133</v>
      </c>
      <c r="B54" s="1" t="s">
        <v>134</v>
      </c>
      <c r="C54" s="1">
        <v>2</v>
      </c>
      <c r="D54" s="1">
        <v>2</v>
      </c>
      <c r="E54" s="1">
        <v>3</v>
      </c>
      <c r="F54" s="1">
        <v>1</v>
      </c>
      <c r="G54" s="1">
        <v>1</v>
      </c>
      <c r="H54" s="1">
        <v>3</v>
      </c>
      <c r="I54" s="1">
        <v>2</v>
      </c>
      <c r="J54" s="1">
        <v>4</v>
      </c>
      <c r="K54" s="1">
        <v>4</v>
      </c>
      <c r="L54" s="1">
        <v>4</v>
      </c>
      <c r="M54" s="1">
        <v>5</v>
      </c>
      <c r="N54" s="1">
        <v>3</v>
      </c>
      <c r="O54" s="1">
        <v>5</v>
      </c>
      <c r="P54" s="1">
        <v>1</v>
      </c>
      <c r="Q54" s="1">
        <v>3</v>
      </c>
      <c r="R54" s="1">
        <v>4</v>
      </c>
      <c r="S54" s="1">
        <v>3</v>
      </c>
      <c r="T54" s="1">
        <v>2</v>
      </c>
      <c r="U54" s="1">
        <v>3</v>
      </c>
      <c r="V54" s="1">
        <v>4</v>
      </c>
      <c r="W54" s="1">
        <v>4</v>
      </c>
      <c r="X54" s="1">
        <v>3</v>
      </c>
      <c r="Y54" s="1">
        <v>1</v>
      </c>
      <c r="Z54" s="1">
        <v>2</v>
      </c>
      <c r="AA54" s="1">
        <v>3</v>
      </c>
      <c r="AB54" s="1">
        <v>2</v>
      </c>
      <c r="AC54" s="1">
        <v>3</v>
      </c>
      <c r="AD54" s="1">
        <v>2</v>
      </c>
      <c r="AE54" s="1">
        <v>1</v>
      </c>
      <c r="AF54" s="1">
        <v>3</v>
      </c>
    </row>
    <row r="55" spans="1:32" x14ac:dyDescent="0.15">
      <c r="A55" s="1" t="s">
        <v>135</v>
      </c>
      <c r="B55" s="1" t="s">
        <v>136</v>
      </c>
      <c r="C55" s="1">
        <v>2</v>
      </c>
      <c r="D55" s="1">
        <v>1</v>
      </c>
      <c r="E55" s="1">
        <v>3</v>
      </c>
      <c r="F55" s="1">
        <v>2</v>
      </c>
      <c r="G55" s="1">
        <v>3</v>
      </c>
      <c r="H55" s="1">
        <v>4</v>
      </c>
      <c r="I55" s="1">
        <v>2</v>
      </c>
      <c r="J55" s="1">
        <v>3</v>
      </c>
      <c r="K55" s="1">
        <v>2</v>
      </c>
      <c r="L55" s="1">
        <v>1</v>
      </c>
      <c r="M55" s="1">
        <v>2</v>
      </c>
      <c r="N55" s="1">
        <v>2</v>
      </c>
      <c r="O55" s="1">
        <v>3</v>
      </c>
      <c r="P55" s="1">
        <v>2</v>
      </c>
      <c r="Q55" s="1">
        <v>2</v>
      </c>
      <c r="R55" s="1">
        <v>3</v>
      </c>
      <c r="S55" s="1">
        <v>1</v>
      </c>
      <c r="T55" s="1">
        <v>3</v>
      </c>
      <c r="U55" s="1">
        <v>2</v>
      </c>
      <c r="V55" s="1">
        <v>4</v>
      </c>
      <c r="W55" s="1">
        <v>3</v>
      </c>
      <c r="X55" s="1">
        <v>1</v>
      </c>
      <c r="Y55" s="1">
        <v>2</v>
      </c>
      <c r="Z55" s="1">
        <v>3</v>
      </c>
      <c r="AA55" s="1">
        <v>3</v>
      </c>
      <c r="AB55" s="1">
        <v>3</v>
      </c>
      <c r="AC55" s="1">
        <v>2</v>
      </c>
      <c r="AD55" s="1">
        <v>2</v>
      </c>
      <c r="AE55" s="1">
        <v>1</v>
      </c>
      <c r="AF55" s="1">
        <v>2</v>
      </c>
    </row>
    <row r="56" spans="1:32" x14ac:dyDescent="0.15">
      <c r="A56" s="1" t="s">
        <v>137</v>
      </c>
      <c r="B56" s="1" t="s">
        <v>138</v>
      </c>
      <c r="C56" s="1">
        <v>1</v>
      </c>
      <c r="D56" s="1">
        <v>2</v>
      </c>
      <c r="E56" s="1">
        <v>1</v>
      </c>
      <c r="F56" s="1">
        <v>3</v>
      </c>
      <c r="G56" s="1">
        <v>3</v>
      </c>
      <c r="H56" s="1">
        <v>1</v>
      </c>
      <c r="I56" s="1">
        <v>2</v>
      </c>
      <c r="J56" s="1">
        <v>3</v>
      </c>
      <c r="K56" s="1">
        <v>3</v>
      </c>
      <c r="L56" s="1">
        <v>1</v>
      </c>
      <c r="M56" s="1">
        <v>3</v>
      </c>
      <c r="N56" s="1">
        <v>3</v>
      </c>
      <c r="O56" s="1">
        <v>1</v>
      </c>
      <c r="P56" s="1">
        <v>1</v>
      </c>
      <c r="Q56" s="1">
        <v>3</v>
      </c>
      <c r="R56" s="1">
        <v>2</v>
      </c>
      <c r="S56" s="1">
        <v>1</v>
      </c>
      <c r="T56" s="1">
        <v>3</v>
      </c>
      <c r="U56" s="1">
        <v>1</v>
      </c>
      <c r="V56" s="1">
        <v>1</v>
      </c>
      <c r="W56" s="1">
        <v>3</v>
      </c>
      <c r="X56" s="1">
        <v>1</v>
      </c>
      <c r="Y56" s="1">
        <v>1</v>
      </c>
      <c r="Z56" s="1">
        <v>1</v>
      </c>
      <c r="AA56" s="1">
        <v>1</v>
      </c>
      <c r="AB56" s="1">
        <v>2</v>
      </c>
      <c r="AC56" s="1">
        <v>1</v>
      </c>
      <c r="AD56" s="1">
        <v>1</v>
      </c>
      <c r="AE56" s="1">
        <v>1</v>
      </c>
      <c r="AF56" s="1">
        <v>2</v>
      </c>
    </row>
    <row r="57" spans="1:32" x14ac:dyDescent="0.15">
      <c r="A57" s="1" t="s">
        <v>139</v>
      </c>
      <c r="B57" s="1" t="s">
        <v>140</v>
      </c>
      <c r="C57" s="1">
        <v>4</v>
      </c>
      <c r="D57" s="1">
        <v>3</v>
      </c>
      <c r="E57" s="1">
        <v>3</v>
      </c>
      <c r="F57" s="1">
        <v>3</v>
      </c>
      <c r="G57" s="1">
        <v>1</v>
      </c>
      <c r="H57" s="1">
        <v>4</v>
      </c>
      <c r="I57" s="1">
        <v>1</v>
      </c>
      <c r="J57" s="1">
        <v>3</v>
      </c>
      <c r="K57" s="1">
        <v>2</v>
      </c>
      <c r="L57" s="1">
        <v>2</v>
      </c>
      <c r="M57" s="1">
        <v>1</v>
      </c>
      <c r="N57" s="1">
        <v>3</v>
      </c>
      <c r="O57" s="1">
        <v>3</v>
      </c>
      <c r="P57" s="1">
        <v>2</v>
      </c>
      <c r="Q57" s="1">
        <v>1</v>
      </c>
      <c r="R57" s="1">
        <v>3</v>
      </c>
      <c r="S57" s="1">
        <v>1</v>
      </c>
      <c r="T57" s="1">
        <v>2</v>
      </c>
      <c r="U57" s="1">
        <v>3</v>
      </c>
      <c r="V57" s="1">
        <v>1</v>
      </c>
      <c r="W57" s="1">
        <v>1</v>
      </c>
      <c r="X57" s="1">
        <v>2</v>
      </c>
      <c r="Y57" s="1">
        <v>2</v>
      </c>
      <c r="Z57" s="1">
        <v>1</v>
      </c>
      <c r="AA57" s="1">
        <v>2</v>
      </c>
      <c r="AB57" s="1">
        <v>2</v>
      </c>
      <c r="AC57" s="1">
        <v>3</v>
      </c>
      <c r="AD57" s="1">
        <v>1</v>
      </c>
      <c r="AE57" s="1">
        <v>1</v>
      </c>
      <c r="AF57" s="1">
        <v>2</v>
      </c>
    </row>
    <row r="58" spans="1:32" x14ac:dyDescent="0.15">
      <c r="A58" s="1" t="s">
        <v>141</v>
      </c>
      <c r="B58" s="1" t="s">
        <v>142</v>
      </c>
      <c r="C58" s="1">
        <v>1</v>
      </c>
      <c r="D58" s="1">
        <v>2</v>
      </c>
      <c r="E58" s="1">
        <v>1</v>
      </c>
      <c r="F58" s="1">
        <v>1</v>
      </c>
      <c r="G58" s="1">
        <v>2</v>
      </c>
      <c r="H58" s="1">
        <v>2</v>
      </c>
      <c r="I58" s="1">
        <v>1</v>
      </c>
      <c r="J58" s="1">
        <v>4</v>
      </c>
      <c r="K58" s="1">
        <v>3</v>
      </c>
      <c r="L58" s="1">
        <v>3</v>
      </c>
      <c r="M58" s="1">
        <v>2</v>
      </c>
      <c r="N58" s="1">
        <v>3</v>
      </c>
      <c r="O58" s="1">
        <v>3</v>
      </c>
      <c r="P58" s="1">
        <v>1</v>
      </c>
      <c r="Q58" s="1">
        <v>1</v>
      </c>
      <c r="R58" s="1">
        <v>1</v>
      </c>
      <c r="S58" s="1">
        <v>2</v>
      </c>
      <c r="T58" s="1">
        <v>1</v>
      </c>
      <c r="U58" s="1">
        <v>1</v>
      </c>
      <c r="V58" s="1">
        <v>2</v>
      </c>
      <c r="W58" s="1">
        <v>3</v>
      </c>
      <c r="X58" s="1">
        <v>1</v>
      </c>
      <c r="Y58" s="1">
        <v>1</v>
      </c>
      <c r="Z58" s="1">
        <v>2</v>
      </c>
      <c r="AA58" s="1">
        <v>1</v>
      </c>
      <c r="AB58" s="1">
        <v>2</v>
      </c>
      <c r="AC58" s="1">
        <v>1</v>
      </c>
      <c r="AD58" s="1">
        <v>1</v>
      </c>
      <c r="AE58" s="1">
        <v>1</v>
      </c>
      <c r="AF58" s="1">
        <v>1</v>
      </c>
    </row>
    <row r="59" spans="1:32" x14ac:dyDescent="0.15">
      <c r="A59" s="1" t="s">
        <v>143</v>
      </c>
      <c r="B59" s="1" t="s">
        <v>144</v>
      </c>
      <c r="C59" s="1">
        <v>1</v>
      </c>
      <c r="D59" s="1">
        <v>2</v>
      </c>
      <c r="E59" s="1">
        <v>1</v>
      </c>
      <c r="F59" s="1">
        <v>1</v>
      </c>
      <c r="G59" s="1">
        <v>1</v>
      </c>
      <c r="H59" s="1">
        <v>1</v>
      </c>
      <c r="I59" s="1">
        <v>1</v>
      </c>
      <c r="J59" s="1">
        <v>2</v>
      </c>
      <c r="K59" s="1">
        <v>3</v>
      </c>
      <c r="L59" s="1">
        <v>1</v>
      </c>
      <c r="M59" s="1">
        <v>2</v>
      </c>
      <c r="N59" s="1">
        <v>3</v>
      </c>
      <c r="O59" s="1">
        <v>1</v>
      </c>
      <c r="P59" s="1">
        <v>1</v>
      </c>
      <c r="Q59" s="1">
        <v>1</v>
      </c>
      <c r="R59" s="1">
        <v>3</v>
      </c>
      <c r="S59" s="1">
        <v>1</v>
      </c>
      <c r="T59" s="1">
        <v>1</v>
      </c>
      <c r="U59" s="1">
        <v>1</v>
      </c>
      <c r="V59" s="1">
        <v>1</v>
      </c>
      <c r="W59" s="1">
        <v>1</v>
      </c>
      <c r="X59" s="1">
        <v>1</v>
      </c>
      <c r="Y59" s="1">
        <v>1</v>
      </c>
      <c r="Z59" s="1">
        <v>1</v>
      </c>
      <c r="AA59" s="1">
        <v>1</v>
      </c>
      <c r="AB59" s="1">
        <v>1</v>
      </c>
      <c r="AC59" s="1">
        <v>1</v>
      </c>
      <c r="AD59" s="1">
        <v>1</v>
      </c>
      <c r="AE59" s="1">
        <v>1</v>
      </c>
      <c r="AF59" s="1">
        <v>2</v>
      </c>
    </row>
    <row r="60" spans="1:32" x14ac:dyDescent="0.15">
      <c r="A60" s="1" t="s">
        <v>145</v>
      </c>
      <c r="B60" s="1" t="s">
        <v>146</v>
      </c>
      <c r="C60" s="1">
        <v>3</v>
      </c>
      <c r="D60" s="1">
        <v>2</v>
      </c>
      <c r="E60" s="1">
        <v>3</v>
      </c>
      <c r="F60" s="1">
        <v>1</v>
      </c>
      <c r="G60" s="1">
        <v>1</v>
      </c>
      <c r="H60" s="1">
        <v>4</v>
      </c>
      <c r="I60" s="1">
        <v>1</v>
      </c>
      <c r="J60" s="1">
        <v>4</v>
      </c>
      <c r="K60" s="1">
        <v>2</v>
      </c>
      <c r="L60" s="1">
        <v>3</v>
      </c>
      <c r="M60" s="1">
        <v>2</v>
      </c>
      <c r="N60" s="1">
        <v>3</v>
      </c>
      <c r="O60" s="1">
        <v>3</v>
      </c>
      <c r="P60" s="1">
        <v>1</v>
      </c>
      <c r="Q60" s="1">
        <v>1</v>
      </c>
      <c r="R60" s="1">
        <v>4</v>
      </c>
      <c r="S60" s="1">
        <v>3</v>
      </c>
      <c r="T60" s="1">
        <v>2</v>
      </c>
      <c r="U60" s="1">
        <v>2</v>
      </c>
      <c r="V60" s="1">
        <v>3</v>
      </c>
      <c r="W60" s="1">
        <v>3</v>
      </c>
      <c r="X60" s="1">
        <v>2</v>
      </c>
      <c r="Y60" s="1">
        <v>1</v>
      </c>
      <c r="Z60" s="1">
        <v>2</v>
      </c>
      <c r="AA60" s="1">
        <v>2</v>
      </c>
      <c r="AB60" s="1">
        <v>3</v>
      </c>
      <c r="AC60" s="1">
        <v>1</v>
      </c>
      <c r="AD60" s="1">
        <v>1</v>
      </c>
      <c r="AE60" s="1">
        <v>1</v>
      </c>
      <c r="AF60" s="1">
        <v>1</v>
      </c>
    </row>
    <row r="61" spans="1:32" x14ac:dyDescent="0.15">
      <c r="A61" s="1" t="s">
        <v>147</v>
      </c>
      <c r="B61" s="1" t="s">
        <v>148</v>
      </c>
      <c r="C61" s="1">
        <v>4</v>
      </c>
      <c r="D61" s="1">
        <v>2</v>
      </c>
      <c r="E61" s="1">
        <v>3</v>
      </c>
      <c r="F61" s="1">
        <v>1</v>
      </c>
      <c r="G61" s="1">
        <v>2</v>
      </c>
      <c r="H61" s="1">
        <v>4</v>
      </c>
      <c r="I61" s="1">
        <v>2</v>
      </c>
      <c r="J61" s="1">
        <v>3</v>
      </c>
      <c r="K61" s="1">
        <v>2</v>
      </c>
      <c r="L61" s="1">
        <v>1</v>
      </c>
      <c r="M61" s="1">
        <v>1</v>
      </c>
      <c r="N61" s="1">
        <v>2</v>
      </c>
      <c r="O61" s="1">
        <v>2</v>
      </c>
      <c r="P61" s="1">
        <v>2</v>
      </c>
      <c r="Q61" s="1">
        <v>4</v>
      </c>
      <c r="R61" s="1">
        <v>3</v>
      </c>
      <c r="S61" s="1">
        <v>3</v>
      </c>
      <c r="T61" s="1">
        <v>3</v>
      </c>
      <c r="U61" s="1">
        <v>2</v>
      </c>
      <c r="V61" s="1">
        <v>2</v>
      </c>
      <c r="W61" s="1">
        <v>2</v>
      </c>
      <c r="X61" s="1">
        <v>1</v>
      </c>
      <c r="Y61" s="1">
        <v>2</v>
      </c>
      <c r="Z61" s="1">
        <v>1</v>
      </c>
      <c r="AA61" s="1">
        <v>1</v>
      </c>
      <c r="AB61" s="1">
        <v>1</v>
      </c>
      <c r="AC61" s="1">
        <v>1</v>
      </c>
      <c r="AD61" s="1">
        <v>1</v>
      </c>
      <c r="AE61" s="1">
        <v>2</v>
      </c>
      <c r="AF61" s="1">
        <v>4</v>
      </c>
    </row>
    <row r="62" spans="1:32" x14ac:dyDescent="0.15">
      <c r="A62" s="1" t="s">
        <v>149</v>
      </c>
      <c r="B62" s="1" t="s">
        <v>150</v>
      </c>
      <c r="C62" s="1">
        <v>4</v>
      </c>
      <c r="D62" s="1">
        <v>1</v>
      </c>
      <c r="E62" s="1">
        <v>3</v>
      </c>
      <c r="F62" s="1">
        <v>1</v>
      </c>
      <c r="G62" s="1">
        <v>1</v>
      </c>
      <c r="H62" s="1">
        <v>3</v>
      </c>
      <c r="I62" s="1">
        <v>1</v>
      </c>
      <c r="J62" s="1">
        <v>3</v>
      </c>
      <c r="K62" s="1">
        <v>2</v>
      </c>
      <c r="L62" s="1">
        <v>3</v>
      </c>
      <c r="M62" s="1">
        <v>2</v>
      </c>
      <c r="N62" s="1">
        <v>4</v>
      </c>
      <c r="O62" s="1">
        <v>1</v>
      </c>
      <c r="P62" s="1">
        <v>1</v>
      </c>
      <c r="Q62" s="1">
        <v>1</v>
      </c>
      <c r="R62" s="1">
        <v>1</v>
      </c>
      <c r="S62" s="1">
        <v>1</v>
      </c>
      <c r="T62" s="1">
        <v>2</v>
      </c>
      <c r="U62" s="1">
        <v>3</v>
      </c>
      <c r="V62" s="1">
        <v>1</v>
      </c>
      <c r="W62" s="1">
        <v>1</v>
      </c>
      <c r="X62" s="1">
        <v>1</v>
      </c>
      <c r="Y62" s="1">
        <v>1</v>
      </c>
      <c r="Z62" s="1">
        <v>1</v>
      </c>
      <c r="AA62" s="1">
        <v>2</v>
      </c>
      <c r="AB62" s="1">
        <v>1</v>
      </c>
      <c r="AC62" s="1">
        <v>1</v>
      </c>
      <c r="AD62" s="1">
        <v>1</v>
      </c>
      <c r="AE62" s="1">
        <v>1</v>
      </c>
      <c r="AF62" s="1">
        <v>1</v>
      </c>
    </row>
    <row r="63" spans="1:32" x14ac:dyDescent="0.15">
      <c r="A63" s="1" t="s">
        <v>151</v>
      </c>
      <c r="B63" s="1" t="s">
        <v>152</v>
      </c>
      <c r="C63" s="1">
        <v>3</v>
      </c>
      <c r="D63" s="1">
        <v>1</v>
      </c>
      <c r="E63" s="1">
        <v>2</v>
      </c>
      <c r="F63" s="1">
        <v>2</v>
      </c>
      <c r="G63" s="1">
        <v>3</v>
      </c>
      <c r="H63" s="1">
        <v>3</v>
      </c>
      <c r="I63" s="1">
        <v>1</v>
      </c>
      <c r="J63" s="1">
        <v>1</v>
      </c>
      <c r="K63" s="1">
        <v>1</v>
      </c>
      <c r="L63" s="1">
        <v>1</v>
      </c>
      <c r="M63" s="1">
        <v>3</v>
      </c>
      <c r="N63" s="1">
        <v>5</v>
      </c>
      <c r="O63" s="1">
        <v>1</v>
      </c>
      <c r="P63" s="1">
        <v>1</v>
      </c>
      <c r="Q63" s="1">
        <v>1</v>
      </c>
      <c r="R63" s="1">
        <v>3</v>
      </c>
      <c r="S63" s="1">
        <v>3</v>
      </c>
      <c r="T63" s="1">
        <v>2</v>
      </c>
      <c r="U63" s="1">
        <v>1</v>
      </c>
      <c r="V63" s="1">
        <v>3</v>
      </c>
      <c r="W63" s="1">
        <v>1</v>
      </c>
      <c r="X63" s="1">
        <v>1</v>
      </c>
      <c r="Y63" s="1">
        <v>1</v>
      </c>
      <c r="Z63" s="1">
        <v>1</v>
      </c>
      <c r="AA63" s="1">
        <v>1</v>
      </c>
      <c r="AB63" s="1">
        <v>2</v>
      </c>
      <c r="AC63" s="1">
        <v>1</v>
      </c>
      <c r="AD63" s="1">
        <v>1</v>
      </c>
      <c r="AE63" s="1">
        <v>1</v>
      </c>
      <c r="AF63" s="1">
        <v>1</v>
      </c>
    </row>
    <row r="64" spans="1:32" x14ac:dyDescent="0.15">
      <c r="A64" s="1" t="s">
        <v>153</v>
      </c>
      <c r="B64" s="1" t="s">
        <v>154</v>
      </c>
      <c r="C64" s="1">
        <v>3</v>
      </c>
      <c r="D64" s="1">
        <v>1</v>
      </c>
      <c r="E64" s="1">
        <v>4</v>
      </c>
      <c r="F64" s="1">
        <v>2</v>
      </c>
      <c r="G64" s="1">
        <v>1</v>
      </c>
      <c r="H64" s="1">
        <v>3</v>
      </c>
      <c r="I64" s="1">
        <v>3</v>
      </c>
      <c r="J64" s="1">
        <v>3</v>
      </c>
      <c r="K64" s="1">
        <v>4</v>
      </c>
      <c r="L64" s="1">
        <v>4</v>
      </c>
      <c r="M64" s="1">
        <v>5</v>
      </c>
      <c r="N64" s="1">
        <v>3</v>
      </c>
      <c r="O64" s="1">
        <v>3</v>
      </c>
      <c r="P64" s="1">
        <v>1</v>
      </c>
      <c r="Q64" s="1">
        <v>1</v>
      </c>
      <c r="R64" s="1">
        <v>4</v>
      </c>
      <c r="S64" s="1">
        <v>5</v>
      </c>
      <c r="T64" s="1">
        <v>3</v>
      </c>
      <c r="U64" s="1">
        <v>2</v>
      </c>
      <c r="V64" s="1">
        <v>5</v>
      </c>
      <c r="W64" s="1">
        <v>2</v>
      </c>
      <c r="X64" s="1">
        <v>1</v>
      </c>
      <c r="Y64" s="1">
        <v>2</v>
      </c>
      <c r="Z64" s="1">
        <v>3</v>
      </c>
      <c r="AA64" s="1">
        <v>3</v>
      </c>
      <c r="AB64" s="1">
        <v>3</v>
      </c>
      <c r="AC64" s="1">
        <v>1</v>
      </c>
      <c r="AD64" s="1">
        <v>2</v>
      </c>
      <c r="AE64" s="1">
        <v>1</v>
      </c>
      <c r="AF64" s="1">
        <v>3</v>
      </c>
    </row>
    <row r="65" spans="1:256" x14ac:dyDescent="0.15">
      <c r="A65" s="1" t="s">
        <v>155</v>
      </c>
      <c r="B65" s="1" t="s">
        <v>156</v>
      </c>
      <c r="C65" s="1">
        <v>3</v>
      </c>
      <c r="D65" s="1">
        <v>2</v>
      </c>
      <c r="E65" s="1">
        <v>2</v>
      </c>
      <c r="F65" s="1">
        <v>3</v>
      </c>
      <c r="G65" s="1">
        <v>2</v>
      </c>
      <c r="H65" s="1">
        <v>4</v>
      </c>
      <c r="I65" s="1">
        <v>1</v>
      </c>
      <c r="J65" s="1">
        <v>1</v>
      </c>
      <c r="K65" s="1">
        <v>1</v>
      </c>
      <c r="L65" s="1">
        <v>1</v>
      </c>
      <c r="M65" s="1">
        <v>1</v>
      </c>
      <c r="N65" s="1">
        <v>4</v>
      </c>
      <c r="O65" s="1">
        <v>1</v>
      </c>
      <c r="P65" s="1">
        <v>2</v>
      </c>
      <c r="Q65" s="1">
        <v>2</v>
      </c>
      <c r="R65" s="1">
        <v>4</v>
      </c>
      <c r="S65" s="1">
        <v>2</v>
      </c>
      <c r="T65" s="1">
        <v>3</v>
      </c>
      <c r="U65" s="1">
        <v>1</v>
      </c>
      <c r="V65" s="1">
        <v>4</v>
      </c>
      <c r="W65" s="1">
        <v>1</v>
      </c>
      <c r="X65" s="1">
        <v>1</v>
      </c>
      <c r="Y65" s="1">
        <v>2</v>
      </c>
      <c r="Z65" s="1">
        <v>1</v>
      </c>
      <c r="AA65" s="1">
        <v>2</v>
      </c>
      <c r="AB65" s="1">
        <v>2</v>
      </c>
      <c r="AC65" s="1">
        <v>1</v>
      </c>
      <c r="AD65" s="1">
        <v>2</v>
      </c>
      <c r="AE65" s="1">
        <v>2</v>
      </c>
      <c r="AF65" s="1">
        <v>2</v>
      </c>
    </row>
    <row r="66" spans="1:256" x14ac:dyDescent="0.15">
      <c r="A66" s="1" t="s">
        <v>157</v>
      </c>
      <c r="B66" s="1" t="s">
        <v>158</v>
      </c>
      <c r="C66" s="1">
        <v>4</v>
      </c>
      <c r="D66" s="1">
        <v>5</v>
      </c>
      <c r="E66" s="1">
        <v>5</v>
      </c>
      <c r="F66" s="1">
        <v>3</v>
      </c>
      <c r="G66" s="1">
        <v>2</v>
      </c>
      <c r="H66" s="1">
        <v>3</v>
      </c>
      <c r="I66" s="1">
        <v>1</v>
      </c>
      <c r="J66" s="1">
        <v>3</v>
      </c>
      <c r="K66" s="1">
        <v>2</v>
      </c>
      <c r="L66" s="1">
        <v>1</v>
      </c>
      <c r="M66" s="1">
        <v>2</v>
      </c>
      <c r="N66" s="1">
        <v>4</v>
      </c>
      <c r="O66" s="1">
        <v>1</v>
      </c>
      <c r="P66" s="1">
        <v>2</v>
      </c>
      <c r="Q66" s="1">
        <v>1</v>
      </c>
      <c r="R66" s="1">
        <v>3</v>
      </c>
      <c r="S66" s="1">
        <v>2</v>
      </c>
      <c r="T66" s="1">
        <v>2</v>
      </c>
      <c r="U66" s="1">
        <v>2</v>
      </c>
      <c r="V66" s="1">
        <v>4</v>
      </c>
      <c r="W66" s="1">
        <v>1</v>
      </c>
      <c r="X66" s="1">
        <v>1</v>
      </c>
      <c r="Y66" s="1">
        <v>3</v>
      </c>
      <c r="Z66" s="1">
        <v>3</v>
      </c>
      <c r="AA66" s="1">
        <v>3</v>
      </c>
      <c r="AB66" s="1">
        <v>3</v>
      </c>
      <c r="AC66" s="1">
        <v>2</v>
      </c>
      <c r="AD66" s="1">
        <v>1</v>
      </c>
      <c r="AE66" s="1">
        <v>1</v>
      </c>
      <c r="AF66" s="1">
        <v>2</v>
      </c>
    </row>
    <row r="67" spans="1:256" x14ac:dyDescent="0.15">
      <c r="A67" s="1" t="s">
        <v>159</v>
      </c>
      <c r="B67" s="1" t="s">
        <v>160</v>
      </c>
      <c r="C67" s="1">
        <v>2</v>
      </c>
      <c r="D67" s="1">
        <v>1</v>
      </c>
      <c r="E67" s="1">
        <v>1</v>
      </c>
      <c r="F67" s="1">
        <v>1</v>
      </c>
      <c r="G67" s="1">
        <v>1</v>
      </c>
      <c r="H67" s="1">
        <v>3</v>
      </c>
      <c r="I67" s="1">
        <v>1</v>
      </c>
      <c r="J67" s="1">
        <v>4</v>
      </c>
      <c r="K67" s="1">
        <v>2</v>
      </c>
      <c r="L67" s="1">
        <v>1</v>
      </c>
      <c r="M67" s="1">
        <v>2</v>
      </c>
      <c r="N67" s="1">
        <v>3</v>
      </c>
      <c r="O67" s="1">
        <v>1</v>
      </c>
      <c r="P67" s="1">
        <v>1</v>
      </c>
      <c r="Q67" s="1">
        <v>1</v>
      </c>
      <c r="R67" s="1">
        <v>1</v>
      </c>
      <c r="S67" s="1">
        <v>1</v>
      </c>
      <c r="T67" s="1">
        <v>1</v>
      </c>
      <c r="U67" s="1">
        <v>1</v>
      </c>
      <c r="V67" s="1">
        <v>3</v>
      </c>
      <c r="W67" s="1">
        <v>1</v>
      </c>
      <c r="X67" s="1">
        <v>1</v>
      </c>
      <c r="Y67" s="1">
        <v>1</v>
      </c>
      <c r="Z67" s="1">
        <v>1</v>
      </c>
      <c r="AA67" s="1">
        <v>1</v>
      </c>
      <c r="AB67" s="1">
        <v>2</v>
      </c>
      <c r="AC67" s="1">
        <v>1</v>
      </c>
      <c r="AD67" s="1">
        <v>1</v>
      </c>
      <c r="AE67" s="1">
        <v>1</v>
      </c>
      <c r="AF67" s="1">
        <v>1</v>
      </c>
    </row>
    <row r="68" spans="1:256" x14ac:dyDescent="0.15">
      <c r="A68" s="1" t="s">
        <v>161</v>
      </c>
      <c r="B68" s="1" t="s">
        <v>162</v>
      </c>
      <c r="C68" s="1">
        <v>2</v>
      </c>
      <c r="D68" s="1">
        <v>1</v>
      </c>
      <c r="E68" s="1">
        <v>1</v>
      </c>
      <c r="F68" s="1">
        <v>1</v>
      </c>
      <c r="G68" s="1">
        <v>1</v>
      </c>
      <c r="H68" s="1">
        <v>1</v>
      </c>
      <c r="I68" s="1">
        <v>1</v>
      </c>
      <c r="J68" s="1">
        <v>3</v>
      </c>
      <c r="K68" s="1">
        <v>1</v>
      </c>
      <c r="L68" s="1">
        <v>1</v>
      </c>
      <c r="M68" s="1">
        <v>1</v>
      </c>
      <c r="N68" s="1">
        <v>3</v>
      </c>
      <c r="O68" s="1">
        <v>1</v>
      </c>
      <c r="P68" s="1">
        <v>1</v>
      </c>
      <c r="Q68" s="1">
        <v>3</v>
      </c>
      <c r="R68" s="1">
        <v>1</v>
      </c>
      <c r="S68" s="1">
        <v>1</v>
      </c>
      <c r="T68" s="1">
        <v>3</v>
      </c>
      <c r="U68" s="1">
        <v>1</v>
      </c>
      <c r="V68" s="1">
        <v>3</v>
      </c>
      <c r="W68" s="1">
        <v>2</v>
      </c>
      <c r="X68" s="1">
        <v>1</v>
      </c>
      <c r="Y68" s="1">
        <v>1</v>
      </c>
      <c r="Z68" s="1">
        <v>1</v>
      </c>
      <c r="AA68" s="1">
        <v>1</v>
      </c>
      <c r="AB68" s="1">
        <v>1</v>
      </c>
      <c r="AC68" s="1">
        <v>1</v>
      </c>
      <c r="AD68" s="1">
        <v>1</v>
      </c>
      <c r="AE68" s="1">
        <v>1</v>
      </c>
      <c r="AF68" s="1">
        <v>1</v>
      </c>
    </row>
    <row r="69" spans="1:256" x14ac:dyDescent="0.15">
      <c r="A69" s="1" t="s">
        <v>163</v>
      </c>
      <c r="B69" s="1" t="s">
        <v>164</v>
      </c>
      <c r="C69" s="1">
        <v>1</v>
      </c>
      <c r="D69" s="1">
        <v>2</v>
      </c>
      <c r="E69" s="1">
        <v>2</v>
      </c>
      <c r="F69" s="1">
        <v>2</v>
      </c>
      <c r="G69" s="1">
        <v>1</v>
      </c>
      <c r="H69" s="1">
        <v>1</v>
      </c>
      <c r="I69" s="1">
        <v>3</v>
      </c>
      <c r="J69" s="1">
        <v>2</v>
      </c>
      <c r="K69" s="1">
        <v>2</v>
      </c>
      <c r="L69" s="1">
        <v>1</v>
      </c>
      <c r="M69" s="1">
        <v>2</v>
      </c>
      <c r="N69" s="1">
        <v>1</v>
      </c>
      <c r="O69" s="1">
        <v>2</v>
      </c>
      <c r="P69" s="1">
        <v>1</v>
      </c>
      <c r="Q69" s="1">
        <v>1</v>
      </c>
      <c r="R69" s="1">
        <v>1</v>
      </c>
      <c r="S69" s="1">
        <v>3</v>
      </c>
      <c r="T69" s="1">
        <v>2</v>
      </c>
      <c r="U69" s="1">
        <v>1</v>
      </c>
      <c r="V69" s="1">
        <v>2</v>
      </c>
      <c r="W69" s="1">
        <v>2</v>
      </c>
      <c r="X69" s="1">
        <v>1</v>
      </c>
      <c r="Y69" s="1">
        <v>1</v>
      </c>
      <c r="Z69" s="1">
        <v>2</v>
      </c>
      <c r="AA69" s="1">
        <v>1</v>
      </c>
      <c r="AB69" s="1">
        <v>1</v>
      </c>
      <c r="AC69" s="1">
        <v>1</v>
      </c>
      <c r="AD69" s="1">
        <v>2</v>
      </c>
      <c r="AE69" s="1">
        <v>1</v>
      </c>
      <c r="AF69" s="1">
        <v>3</v>
      </c>
    </row>
    <row r="70" spans="1:256" x14ac:dyDescent="0.15">
      <c r="A70" s="1" t="s">
        <v>165</v>
      </c>
      <c r="B70" s="1" t="s">
        <v>166</v>
      </c>
      <c r="C70" s="1">
        <v>6</v>
      </c>
      <c r="D70" s="1">
        <v>1</v>
      </c>
      <c r="E70" s="1">
        <v>2</v>
      </c>
      <c r="F70" s="1">
        <v>1</v>
      </c>
      <c r="G70" s="1">
        <v>4</v>
      </c>
      <c r="H70" s="1">
        <v>4</v>
      </c>
      <c r="I70" s="1">
        <v>1</v>
      </c>
      <c r="J70" s="1">
        <v>2</v>
      </c>
      <c r="K70" s="1">
        <v>1</v>
      </c>
      <c r="L70" s="1">
        <v>1</v>
      </c>
      <c r="M70" s="1">
        <v>2</v>
      </c>
      <c r="N70" s="1">
        <v>5</v>
      </c>
      <c r="O70" s="1">
        <v>2</v>
      </c>
      <c r="P70" s="1">
        <v>3</v>
      </c>
      <c r="Q70" s="1">
        <v>1</v>
      </c>
      <c r="R70" s="1">
        <v>3</v>
      </c>
      <c r="S70" s="1">
        <v>2</v>
      </c>
      <c r="T70" s="1">
        <v>2</v>
      </c>
      <c r="U70" s="1">
        <v>1</v>
      </c>
      <c r="V70" s="1">
        <v>4</v>
      </c>
      <c r="W70" s="1">
        <v>1</v>
      </c>
      <c r="X70" s="1">
        <v>1</v>
      </c>
      <c r="Y70" s="1">
        <v>1</v>
      </c>
      <c r="Z70" s="1">
        <v>2</v>
      </c>
      <c r="AA70" s="1">
        <v>1</v>
      </c>
      <c r="AB70" s="1">
        <v>2</v>
      </c>
      <c r="AC70" s="1">
        <v>1</v>
      </c>
      <c r="AD70" s="1">
        <v>1</v>
      </c>
      <c r="AE70" s="1">
        <v>1</v>
      </c>
      <c r="AF70" s="1">
        <v>4</v>
      </c>
    </row>
    <row r="71" spans="1:256" x14ac:dyDescent="0.15">
      <c r="A71" s="1" t="s">
        <v>167</v>
      </c>
      <c r="B71" s="1" t="s">
        <v>168</v>
      </c>
      <c r="C71" s="1">
        <v>5</v>
      </c>
      <c r="D71" s="1">
        <v>1</v>
      </c>
      <c r="E71" s="1">
        <v>3</v>
      </c>
      <c r="F71" s="1">
        <v>1</v>
      </c>
      <c r="G71" s="1">
        <v>4</v>
      </c>
      <c r="H71" s="1">
        <v>4</v>
      </c>
      <c r="I71" s="1">
        <v>1</v>
      </c>
      <c r="J71" s="1">
        <v>1</v>
      </c>
      <c r="K71" s="1">
        <v>2</v>
      </c>
      <c r="L71" s="1">
        <v>1</v>
      </c>
      <c r="M71" s="1">
        <v>1</v>
      </c>
      <c r="N71" s="1">
        <v>2</v>
      </c>
      <c r="O71" s="1">
        <v>1</v>
      </c>
      <c r="P71" s="1">
        <v>1</v>
      </c>
      <c r="Q71" s="1">
        <v>4</v>
      </c>
      <c r="R71" s="1">
        <v>3</v>
      </c>
      <c r="S71" s="1">
        <v>2</v>
      </c>
      <c r="T71" s="1">
        <v>2</v>
      </c>
      <c r="U71" s="1">
        <v>1</v>
      </c>
      <c r="V71" s="1">
        <v>3</v>
      </c>
      <c r="W71" s="1">
        <v>1</v>
      </c>
      <c r="X71" s="1">
        <v>1</v>
      </c>
      <c r="Y71" s="1">
        <v>1</v>
      </c>
      <c r="Z71" s="1">
        <v>1</v>
      </c>
      <c r="AA71" s="1">
        <v>1</v>
      </c>
      <c r="AB71" s="1">
        <v>1</v>
      </c>
      <c r="AC71" s="1">
        <v>1</v>
      </c>
      <c r="AD71" s="1">
        <v>1</v>
      </c>
      <c r="AE71" s="1">
        <v>1</v>
      </c>
      <c r="AF71" s="1">
        <v>3</v>
      </c>
    </row>
    <row r="72" spans="1:256" x14ac:dyDescent="0.15">
      <c r="A72" s="1" t="s">
        <v>169</v>
      </c>
      <c r="B72" s="1" t="s">
        <v>170</v>
      </c>
      <c r="C72" s="1">
        <v>4</v>
      </c>
      <c r="D72" s="1">
        <v>2</v>
      </c>
      <c r="E72" s="1">
        <v>2</v>
      </c>
      <c r="F72" s="1">
        <v>1</v>
      </c>
      <c r="G72" s="1">
        <v>2</v>
      </c>
      <c r="H72" s="1">
        <v>2</v>
      </c>
      <c r="I72" s="1">
        <v>1</v>
      </c>
      <c r="J72" s="1">
        <v>1</v>
      </c>
      <c r="K72" s="1">
        <v>1</v>
      </c>
      <c r="L72" s="1">
        <v>1</v>
      </c>
      <c r="M72" s="1">
        <v>3</v>
      </c>
      <c r="N72" s="1">
        <v>5</v>
      </c>
      <c r="O72" s="1">
        <v>1</v>
      </c>
      <c r="P72" s="1">
        <v>2</v>
      </c>
      <c r="Q72" s="1">
        <v>1</v>
      </c>
      <c r="R72" s="1">
        <v>3</v>
      </c>
      <c r="S72" s="1">
        <v>2</v>
      </c>
      <c r="T72" s="1">
        <v>3</v>
      </c>
      <c r="U72" s="1">
        <v>1</v>
      </c>
      <c r="V72" s="1">
        <v>1</v>
      </c>
      <c r="W72" s="1">
        <v>1</v>
      </c>
      <c r="X72" s="1">
        <v>1</v>
      </c>
      <c r="Y72" s="1">
        <v>1</v>
      </c>
      <c r="Z72" s="1">
        <v>1</v>
      </c>
      <c r="AA72" s="1">
        <v>1</v>
      </c>
      <c r="AB72" s="1">
        <v>1</v>
      </c>
      <c r="AC72" s="1">
        <v>1</v>
      </c>
      <c r="AD72" s="1">
        <v>1</v>
      </c>
      <c r="AE72" s="1">
        <v>1</v>
      </c>
      <c r="AF72" s="1">
        <v>2</v>
      </c>
    </row>
    <row r="73" spans="1:256" x14ac:dyDescent="0.15">
      <c r="A73" s="2" t="s">
        <v>171</v>
      </c>
      <c r="B73" s="3" t="s">
        <v>172</v>
      </c>
      <c r="C73">
        <v>2</v>
      </c>
      <c r="D73">
        <v>2</v>
      </c>
      <c r="E73">
        <v>1</v>
      </c>
      <c r="F73">
        <v>1</v>
      </c>
      <c r="G73">
        <v>1</v>
      </c>
      <c r="H73">
        <v>1</v>
      </c>
      <c r="I73">
        <v>1</v>
      </c>
      <c r="J73">
        <v>3</v>
      </c>
      <c r="K73">
        <v>2</v>
      </c>
      <c r="L73">
        <v>1</v>
      </c>
      <c r="M73">
        <v>3</v>
      </c>
      <c r="N73">
        <v>2</v>
      </c>
      <c r="O73">
        <v>3</v>
      </c>
      <c r="P73">
        <v>1</v>
      </c>
      <c r="Q73">
        <v>1</v>
      </c>
      <c r="R73">
        <v>1</v>
      </c>
      <c r="S73">
        <v>1</v>
      </c>
      <c r="T73">
        <v>1</v>
      </c>
      <c r="U73">
        <v>2</v>
      </c>
      <c r="V73">
        <v>1</v>
      </c>
      <c r="W73">
        <v>3</v>
      </c>
      <c r="X73">
        <v>1</v>
      </c>
      <c r="Y73">
        <v>1</v>
      </c>
      <c r="Z73">
        <v>1</v>
      </c>
      <c r="AA73">
        <v>2</v>
      </c>
      <c r="AB73">
        <v>1</v>
      </c>
      <c r="AC73">
        <v>2</v>
      </c>
      <c r="AD73">
        <v>1</v>
      </c>
      <c r="AE73">
        <v>1</v>
      </c>
      <c r="AF73">
        <v>2</v>
      </c>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row>
  </sheetData>
  <sheetProtection selectLockedCells="1" selectUnlockedCells="1"/>
  <pageMargins left="0.78749999999999998" right="0.78749999999999998" top="1.0527777777777778" bottom="1.05277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7"/>
  <sheetViews>
    <sheetView topLeftCell="A115" zoomScale="90" zoomScaleNormal="90" workbookViewId="0">
      <selection activeCell="B6" sqref="B6"/>
    </sheetView>
  </sheetViews>
  <sheetFormatPr baseColWidth="10" defaultColWidth="11.6640625" defaultRowHeight="13" x14ac:dyDescent="0.15"/>
  <cols>
    <col min="1" max="1" width="11" style="1" customWidth="1"/>
    <col min="2" max="2" width="18.33203125" style="1" customWidth="1"/>
    <col min="3" max="3" width="21.1640625" style="1" customWidth="1"/>
    <col min="4" max="4" width="51.5" style="1" customWidth="1"/>
    <col min="5" max="5" width="99.1640625" style="1" customWidth="1"/>
    <col min="6" max="6" width="40.5" style="1" customWidth="1"/>
    <col min="7" max="7" width="34.6640625" style="1" customWidth="1"/>
    <col min="8" max="8" width="77" style="1" customWidth="1"/>
    <col min="9" max="9" width="54.5" style="1" customWidth="1"/>
    <col min="10" max="10" width="11" style="1" customWidth="1"/>
    <col min="11" max="16384" width="11.6640625" style="1"/>
  </cols>
  <sheetData>
    <row r="1" spans="1:3" x14ac:dyDescent="0.15">
      <c r="A1" s="1" t="s">
        <v>0</v>
      </c>
      <c r="B1" s="1" t="s">
        <v>1</v>
      </c>
      <c r="C1" s="1" t="s">
        <v>173</v>
      </c>
    </row>
    <row r="2" spans="1:3" s="4" customFormat="1" x14ac:dyDescent="0.15">
      <c r="A2" s="4" t="s">
        <v>174</v>
      </c>
      <c r="B2" s="4" t="s">
        <v>175</v>
      </c>
      <c r="C2" s="4">
        <v>0</v>
      </c>
    </row>
    <row r="3" spans="1:3" x14ac:dyDescent="0.15">
      <c r="A3" s="1" t="s">
        <v>176</v>
      </c>
      <c r="B3" s="1" t="s">
        <v>177</v>
      </c>
      <c r="C3" s="1">
        <v>0</v>
      </c>
    </row>
    <row r="4" spans="1:3" x14ac:dyDescent="0.15">
      <c r="A4" s="1" t="s">
        <v>178</v>
      </c>
      <c r="B4" s="1" t="s">
        <v>35</v>
      </c>
      <c r="C4" s="1">
        <v>9999</v>
      </c>
    </row>
    <row r="5" spans="1:3" x14ac:dyDescent="0.15">
      <c r="A5" s="1" t="s">
        <v>179</v>
      </c>
      <c r="B5" s="1" t="s">
        <v>38</v>
      </c>
      <c r="C5" s="1">
        <v>0</v>
      </c>
    </row>
    <row r="6" spans="1:3" x14ac:dyDescent="0.15">
      <c r="A6" s="1" t="s">
        <v>180</v>
      </c>
      <c r="B6" s="1" t="s">
        <v>181</v>
      </c>
      <c r="C6" s="1">
        <v>0</v>
      </c>
    </row>
    <row r="7" spans="1:3" x14ac:dyDescent="0.15">
      <c r="A7" s="1" t="s">
        <v>182</v>
      </c>
      <c r="B7" s="1" t="s">
        <v>181</v>
      </c>
      <c r="C7" s="1">
        <v>0</v>
      </c>
    </row>
    <row r="8" spans="1:3" x14ac:dyDescent="0.15">
      <c r="A8" s="1" t="s">
        <v>183</v>
      </c>
      <c r="B8" s="1" t="s">
        <v>184</v>
      </c>
      <c r="C8" s="1">
        <v>0</v>
      </c>
    </row>
    <row r="9" spans="1:3" x14ac:dyDescent="0.15">
      <c r="A9" s="1" t="s">
        <v>185</v>
      </c>
      <c r="B9" s="1" t="s">
        <v>184</v>
      </c>
      <c r="C9" s="1">
        <v>0</v>
      </c>
    </row>
    <row r="10" spans="1:3" x14ac:dyDescent="0.15">
      <c r="A10" s="1" t="s">
        <v>186</v>
      </c>
      <c r="B10" s="1" t="s">
        <v>187</v>
      </c>
      <c r="C10" s="1">
        <v>0</v>
      </c>
    </row>
    <row r="11" spans="1:3" x14ac:dyDescent="0.15">
      <c r="A11" s="1" t="s">
        <v>188</v>
      </c>
      <c r="B11" s="1" t="s">
        <v>43</v>
      </c>
      <c r="C11" s="1">
        <v>0</v>
      </c>
    </row>
    <row r="12" spans="1:3" x14ac:dyDescent="0.15">
      <c r="A12" s="1" t="s">
        <v>189</v>
      </c>
      <c r="B12" s="1" t="s">
        <v>190</v>
      </c>
      <c r="C12" s="1">
        <v>0</v>
      </c>
    </row>
    <row r="13" spans="1:3" x14ac:dyDescent="0.15">
      <c r="A13" s="1" t="s">
        <v>191</v>
      </c>
      <c r="B13" s="1" t="s">
        <v>192</v>
      </c>
      <c r="C13" s="1">
        <v>0</v>
      </c>
    </row>
    <row r="14" spans="1:3" x14ac:dyDescent="0.15">
      <c r="A14" s="1" t="s">
        <v>193</v>
      </c>
      <c r="B14" s="1" t="s">
        <v>194</v>
      </c>
      <c r="C14" s="1">
        <v>0</v>
      </c>
    </row>
    <row r="15" spans="1:3" x14ac:dyDescent="0.15">
      <c r="A15" s="1" t="s">
        <v>195</v>
      </c>
      <c r="B15" s="1" t="s">
        <v>196</v>
      </c>
      <c r="C15" s="1">
        <v>0</v>
      </c>
    </row>
    <row r="16" spans="1:3" x14ac:dyDescent="0.15">
      <c r="A16" s="1" t="s">
        <v>197</v>
      </c>
      <c r="B16" s="1" t="s">
        <v>198</v>
      </c>
      <c r="C16" s="1">
        <v>0</v>
      </c>
    </row>
    <row r="17" spans="1:3" x14ac:dyDescent="0.15">
      <c r="A17" s="1" t="s">
        <v>199</v>
      </c>
      <c r="B17" s="1" t="s">
        <v>200</v>
      </c>
      <c r="C17" s="1">
        <v>0</v>
      </c>
    </row>
    <row r="18" spans="1:3" x14ac:dyDescent="0.15">
      <c r="A18" s="1" t="s">
        <v>201</v>
      </c>
      <c r="B18" s="1" t="s">
        <v>202</v>
      </c>
      <c r="C18" s="1">
        <v>0</v>
      </c>
    </row>
    <row r="19" spans="1:3" x14ac:dyDescent="0.15">
      <c r="A19" s="1" t="s">
        <v>203</v>
      </c>
      <c r="B19" s="1" t="s">
        <v>53</v>
      </c>
      <c r="C19" s="1">
        <v>1</v>
      </c>
    </row>
    <row r="20" spans="1:3" x14ac:dyDescent="0.15">
      <c r="A20" s="1" t="s">
        <v>204</v>
      </c>
      <c r="B20" s="1" t="s">
        <v>205</v>
      </c>
      <c r="C20" s="1">
        <v>1</v>
      </c>
    </row>
    <row r="21" spans="1:3" x14ac:dyDescent="0.15">
      <c r="A21" s="1" t="s">
        <v>206</v>
      </c>
      <c r="B21" s="1" t="s">
        <v>207</v>
      </c>
      <c r="C21" s="1">
        <v>1</v>
      </c>
    </row>
    <row r="22" spans="1:3" x14ac:dyDescent="0.15">
      <c r="A22" s="1" t="s">
        <v>208</v>
      </c>
      <c r="B22" s="1" t="s">
        <v>207</v>
      </c>
      <c r="C22" s="1">
        <v>0</v>
      </c>
    </row>
    <row r="23" spans="1:3" x14ac:dyDescent="0.15">
      <c r="A23" s="1" t="s">
        <v>209</v>
      </c>
      <c r="B23" s="1" t="s">
        <v>210</v>
      </c>
      <c r="C23" s="1">
        <v>1</v>
      </c>
    </row>
    <row r="24" spans="1:3" x14ac:dyDescent="0.15">
      <c r="A24" s="1" t="s">
        <v>211</v>
      </c>
      <c r="B24" s="1" t="s">
        <v>210</v>
      </c>
      <c r="C24" s="1">
        <v>0</v>
      </c>
    </row>
    <row r="25" spans="1:3" x14ac:dyDescent="0.15">
      <c r="A25" s="1" t="s">
        <v>212</v>
      </c>
      <c r="B25" s="1" t="s">
        <v>213</v>
      </c>
      <c r="C25" s="1">
        <v>0</v>
      </c>
    </row>
    <row r="26" spans="1:3" x14ac:dyDescent="0.15">
      <c r="A26" s="1" t="s">
        <v>214</v>
      </c>
      <c r="B26" s="1" t="s">
        <v>215</v>
      </c>
      <c r="C26" s="1">
        <v>1</v>
      </c>
    </row>
    <row r="27" spans="1:3" x14ac:dyDescent="0.15">
      <c r="A27" s="1" t="s">
        <v>216</v>
      </c>
      <c r="B27" s="1" t="s">
        <v>217</v>
      </c>
      <c r="C27" s="1">
        <v>0</v>
      </c>
    </row>
    <row r="28" spans="1:3" x14ac:dyDescent="0.15">
      <c r="A28" s="1" t="s">
        <v>218</v>
      </c>
      <c r="B28" s="1" t="s">
        <v>219</v>
      </c>
      <c r="C28" s="1">
        <v>0</v>
      </c>
    </row>
    <row r="29" spans="1:3" x14ac:dyDescent="0.15">
      <c r="A29" s="1" t="s">
        <v>220</v>
      </c>
      <c r="B29" s="1" t="s">
        <v>219</v>
      </c>
      <c r="C29" s="1">
        <v>1</v>
      </c>
    </row>
    <row r="30" spans="1:3" x14ac:dyDescent="0.15">
      <c r="A30" s="1" t="s">
        <v>221</v>
      </c>
      <c r="B30" s="1" t="s">
        <v>222</v>
      </c>
      <c r="C30" s="1">
        <v>0</v>
      </c>
    </row>
    <row r="31" spans="1:3" x14ac:dyDescent="0.15">
      <c r="A31" s="1" t="s">
        <v>223</v>
      </c>
      <c r="B31" s="1" t="s">
        <v>224</v>
      </c>
      <c r="C31" s="1">
        <v>0</v>
      </c>
    </row>
    <row r="32" spans="1:3" x14ac:dyDescent="0.15">
      <c r="A32" s="1" t="s">
        <v>225</v>
      </c>
      <c r="B32" s="1" t="s">
        <v>226</v>
      </c>
      <c r="C32" s="1">
        <v>0</v>
      </c>
    </row>
    <row r="33" spans="1:3" x14ac:dyDescent="0.15">
      <c r="A33" s="1" t="s">
        <v>227</v>
      </c>
      <c r="B33" s="1" t="s">
        <v>228</v>
      </c>
      <c r="C33" s="1">
        <v>0</v>
      </c>
    </row>
    <row r="34" spans="1:3" x14ac:dyDescent="0.15">
      <c r="A34" s="1" t="s">
        <v>229</v>
      </c>
      <c r="B34" s="1" t="s">
        <v>230</v>
      </c>
      <c r="C34" s="1">
        <v>0</v>
      </c>
    </row>
    <row r="35" spans="1:3" x14ac:dyDescent="0.15">
      <c r="A35" s="1" t="s">
        <v>231</v>
      </c>
      <c r="B35" s="1" t="s">
        <v>232</v>
      </c>
      <c r="C35" s="1">
        <v>0</v>
      </c>
    </row>
    <row r="36" spans="1:3" x14ac:dyDescent="0.15">
      <c r="A36" s="1" t="s">
        <v>233</v>
      </c>
      <c r="B36" s="1" t="s">
        <v>234</v>
      </c>
      <c r="C36" s="1">
        <v>0</v>
      </c>
    </row>
    <row r="37" spans="1:3" x14ac:dyDescent="0.15">
      <c r="A37" s="1" t="s">
        <v>235</v>
      </c>
      <c r="B37" s="1" t="s">
        <v>236</v>
      </c>
      <c r="C37" s="1">
        <v>0</v>
      </c>
    </row>
    <row r="38" spans="1:3" x14ac:dyDescent="0.15">
      <c r="A38" s="1" t="s">
        <v>237</v>
      </c>
      <c r="B38" s="1" t="s">
        <v>238</v>
      </c>
      <c r="C38" s="1">
        <v>0</v>
      </c>
    </row>
    <row r="39" spans="1:3" x14ac:dyDescent="0.15">
      <c r="A39" s="1" t="s">
        <v>239</v>
      </c>
      <c r="B39" s="1" t="s">
        <v>240</v>
      </c>
      <c r="C39" s="1">
        <v>0</v>
      </c>
    </row>
    <row r="40" spans="1:3" x14ac:dyDescent="0.15">
      <c r="A40" s="1" t="s">
        <v>241</v>
      </c>
      <c r="B40" s="1" t="s">
        <v>242</v>
      </c>
      <c r="C40" s="1">
        <v>0</v>
      </c>
    </row>
    <row r="41" spans="1:3" x14ac:dyDescent="0.15">
      <c r="A41" s="1" t="s">
        <v>243</v>
      </c>
      <c r="B41" s="1" t="s">
        <v>244</v>
      </c>
      <c r="C41" s="1">
        <v>0</v>
      </c>
    </row>
    <row r="42" spans="1:3" x14ac:dyDescent="0.15">
      <c r="A42" s="1" t="s">
        <v>245</v>
      </c>
      <c r="B42" s="1" t="s">
        <v>246</v>
      </c>
      <c r="C42" s="1">
        <v>0</v>
      </c>
    </row>
    <row r="43" spans="1:3" x14ac:dyDescent="0.15">
      <c r="A43" s="1" t="s">
        <v>247</v>
      </c>
      <c r="B43" s="1" t="s">
        <v>246</v>
      </c>
      <c r="C43" s="1">
        <v>0</v>
      </c>
    </row>
    <row r="44" spans="1:3" x14ac:dyDescent="0.15">
      <c r="A44" s="1" t="s">
        <v>248</v>
      </c>
      <c r="B44" s="1" t="s">
        <v>249</v>
      </c>
      <c r="C44" s="1">
        <v>0</v>
      </c>
    </row>
    <row r="45" spans="1:3" x14ac:dyDescent="0.15">
      <c r="A45" s="1" t="s">
        <v>250</v>
      </c>
      <c r="B45" s="1" t="s">
        <v>251</v>
      </c>
      <c r="C45" s="1">
        <v>0</v>
      </c>
    </row>
    <row r="46" spans="1:3" x14ac:dyDescent="0.15">
      <c r="A46" s="1" t="s">
        <v>252</v>
      </c>
      <c r="B46" s="1" t="s">
        <v>251</v>
      </c>
      <c r="C46" s="1">
        <v>1</v>
      </c>
    </row>
    <row r="47" spans="1:3" x14ac:dyDescent="0.15">
      <c r="A47" s="1" t="s">
        <v>253</v>
      </c>
      <c r="B47" s="1" t="s">
        <v>254</v>
      </c>
      <c r="C47" s="1">
        <v>1</v>
      </c>
    </row>
    <row r="48" spans="1:3" x14ac:dyDescent="0.15">
      <c r="A48" s="1" t="s">
        <v>255</v>
      </c>
      <c r="B48" s="1" t="s">
        <v>256</v>
      </c>
      <c r="C48" s="1">
        <v>1</v>
      </c>
    </row>
    <row r="49" spans="1:3" x14ac:dyDescent="0.15">
      <c r="A49" s="1" t="s">
        <v>257</v>
      </c>
      <c r="B49" s="1" t="s">
        <v>258</v>
      </c>
      <c r="C49" s="1">
        <v>0</v>
      </c>
    </row>
    <row r="50" spans="1:3" x14ac:dyDescent="0.15">
      <c r="A50" s="1" t="s">
        <v>259</v>
      </c>
      <c r="B50" s="1" t="s">
        <v>260</v>
      </c>
      <c r="C50" s="1">
        <v>0</v>
      </c>
    </row>
    <row r="51" spans="1:3" x14ac:dyDescent="0.15">
      <c r="A51" s="1" t="s">
        <v>261</v>
      </c>
      <c r="B51" s="1" t="s">
        <v>111</v>
      </c>
      <c r="C51" s="1">
        <v>0</v>
      </c>
    </row>
    <row r="52" spans="1:3" x14ac:dyDescent="0.15">
      <c r="A52" s="1" t="s">
        <v>262</v>
      </c>
      <c r="B52" s="1" t="s">
        <v>263</v>
      </c>
      <c r="C52" s="1">
        <v>1</v>
      </c>
    </row>
    <row r="53" spans="1:3" x14ac:dyDescent="0.15">
      <c r="A53" s="1" t="s">
        <v>264</v>
      </c>
      <c r="B53" s="1" t="s">
        <v>265</v>
      </c>
      <c r="C53" s="1">
        <v>0</v>
      </c>
    </row>
    <row r="54" spans="1:3" x14ac:dyDescent="0.15">
      <c r="A54" s="1" t="s">
        <v>266</v>
      </c>
      <c r="B54" s="1" t="s">
        <v>267</v>
      </c>
      <c r="C54" s="1">
        <v>0</v>
      </c>
    </row>
    <row r="55" spans="1:3" x14ac:dyDescent="0.15">
      <c r="A55" s="1" t="s">
        <v>268</v>
      </c>
      <c r="B55" s="1" t="s">
        <v>269</v>
      </c>
      <c r="C55" s="1">
        <v>0</v>
      </c>
    </row>
    <row r="56" spans="1:3" x14ac:dyDescent="0.15">
      <c r="A56" s="1" t="s">
        <v>270</v>
      </c>
      <c r="B56" s="1" t="s">
        <v>271</v>
      </c>
      <c r="C56" s="1">
        <v>0</v>
      </c>
    </row>
    <row r="57" spans="1:3" x14ac:dyDescent="0.15">
      <c r="A57" s="1" t="s">
        <v>272</v>
      </c>
      <c r="B57" s="1" t="s">
        <v>273</v>
      </c>
      <c r="C57" s="1">
        <v>0</v>
      </c>
    </row>
    <row r="58" spans="1:3" x14ac:dyDescent="0.15">
      <c r="A58" s="1" t="s">
        <v>274</v>
      </c>
      <c r="B58" s="1" t="s">
        <v>275</v>
      </c>
      <c r="C58" s="1">
        <v>0</v>
      </c>
    </row>
    <row r="59" spans="1:3" x14ac:dyDescent="0.15">
      <c r="A59" s="1" t="s">
        <v>276</v>
      </c>
      <c r="B59" s="1" t="s">
        <v>277</v>
      </c>
      <c r="C59" s="1">
        <v>0</v>
      </c>
    </row>
    <row r="60" spans="1:3" x14ac:dyDescent="0.15">
      <c r="A60" s="1" t="s">
        <v>278</v>
      </c>
      <c r="B60" s="1" t="s">
        <v>132</v>
      </c>
      <c r="C60" s="1">
        <v>0</v>
      </c>
    </row>
    <row r="61" spans="1:3" x14ac:dyDescent="0.15">
      <c r="A61" s="1" t="s">
        <v>279</v>
      </c>
      <c r="B61" s="1" t="s">
        <v>280</v>
      </c>
      <c r="C61" s="1">
        <v>1</v>
      </c>
    </row>
    <row r="62" spans="1:3" x14ac:dyDescent="0.15">
      <c r="A62" s="1" t="s">
        <v>281</v>
      </c>
      <c r="B62" s="1" t="s">
        <v>282</v>
      </c>
      <c r="C62" s="1">
        <v>0</v>
      </c>
    </row>
    <row r="63" spans="1:3" x14ac:dyDescent="0.15">
      <c r="A63" s="1" t="s">
        <v>283</v>
      </c>
      <c r="B63" s="1" t="s">
        <v>284</v>
      </c>
      <c r="C63" s="1">
        <v>0</v>
      </c>
    </row>
    <row r="64" spans="1:3" x14ac:dyDescent="0.15">
      <c r="A64" s="1" t="s">
        <v>285</v>
      </c>
      <c r="B64" s="1" t="s">
        <v>286</v>
      </c>
      <c r="C64" s="1">
        <v>1</v>
      </c>
    </row>
    <row r="65" spans="1:3" x14ac:dyDescent="0.15">
      <c r="A65" s="1" t="s">
        <v>287</v>
      </c>
      <c r="B65" s="1" t="s">
        <v>288</v>
      </c>
      <c r="C65" s="1">
        <v>1</v>
      </c>
    </row>
    <row r="66" spans="1:3" x14ac:dyDescent="0.15">
      <c r="A66" s="1" t="s">
        <v>289</v>
      </c>
      <c r="B66" s="1" t="s">
        <v>290</v>
      </c>
      <c r="C66" s="1">
        <v>0</v>
      </c>
    </row>
    <row r="67" spans="1:3" x14ac:dyDescent="0.15">
      <c r="A67" s="1" t="s">
        <v>291</v>
      </c>
      <c r="B67" s="1" t="s">
        <v>292</v>
      </c>
      <c r="C67" s="1">
        <v>0</v>
      </c>
    </row>
    <row r="68" spans="1:3" x14ac:dyDescent="0.15">
      <c r="A68" s="1" t="s">
        <v>293</v>
      </c>
      <c r="B68" s="1" t="s">
        <v>294</v>
      </c>
      <c r="C68" s="1">
        <v>0</v>
      </c>
    </row>
    <row r="69" spans="1:3" x14ac:dyDescent="0.15">
      <c r="A69" s="1" t="s">
        <v>295</v>
      </c>
      <c r="B69" s="1" t="s">
        <v>296</v>
      </c>
      <c r="C69" s="1">
        <v>1</v>
      </c>
    </row>
    <row r="70" spans="1:3" x14ac:dyDescent="0.15">
      <c r="A70" s="1" t="s">
        <v>297</v>
      </c>
      <c r="B70" s="1" t="s">
        <v>298</v>
      </c>
      <c r="C70" s="1">
        <v>1</v>
      </c>
    </row>
    <row r="71" spans="1:3" x14ac:dyDescent="0.15">
      <c r="A71" s="1" t="s">
        <v>299</v>
      </c>
      <c r="B71" s="1" t="s">
        <v>300</v>
      </c>
      <c r="C71" s="1">
        <v>0</v>
      </c>
    </row>
    <row r="72" spans="1:3" x14ac:dyDescent="0.15">
      <c r="A72" s="1" t="s">
        <v>301</v>
      </c>
      <c r="B72" s="1" t="s">
        <v>302</v>
      </c>
      <c r="C72" s="1">
        <v>0</v>
      </c>
    </row>
    <row r="73" spans="1:3" x14ac:dyDescent="0.15">
      <c r="A73" s="1" t="s">
        <v>303</v>
      </c>
      <c r="B73" s="1" t="s">
        <v>304</v>
      </c>
      <c r="C73" s="1">
        <v>0</v>
      </c>
    </row>
    <row r="74" spans="1:3" x14ac:dyDescent="0.15">
      <c r="A74" s="1" t="s">
        <v>305</v>
      </c>
      <c r="B74" s="1" t="s">
        <v>306</v>
      </c>
      <c r="C74" s="1">
        <v>1</v>
      </c>
    </row>
    <row r="75" spans="1:3" x14ac:dyDescent="0.15">
      <c r="A75" s="1" t="s">
        <v>307</v>
      </c>
      <c r="B75" s="1" t="s">
        <v>308</v>
      </c>
      <c r="C75" s="1">
        <v>0</v>
      </c>
    </row>
    <row r="76" spans="1:3" x14ac:dyDescent="0.15">
      <c r="A76" s="1" t="s">
        <v>32</v>
      </c>
      <c r="B76" s="1" t="s">
        <v>309</v>
      </c>
      <c r="C76" s="1">
        <v>1</v>
      </c>
    </row>
    <row r="77" spans="1:3" x14ac:dyDescent="0.15">
      <c r="A77" s="1" t="s">
        <v>36</v>
      </c>
      <c r="B77" s="1" t="s">
        <v>35</v>
      </c>
      <c r="C77" s="1">
        <v>1</v>
      </c>
    </row>
    <row r="78" spans="1:3" x14ac:dyDescent="0.15">
      <c r="A78" s="1" t="s">
        <v>34</v>
      </c>
      <c r="B78" s="1" t="s">
        <v>35</v>
      </c>
      <c r="C78" s="1">
        <v>0</v>
      </c>
    </row>
    <row r="79" spans="1:3" x14ac:dyDescent="0.15">
      <c r="A79" s="1" t="s">
        <v>37</v>
      </c>
      <c r="B79" s="1" t="s">
        <v>38</v>
      </c>
      <c r="C79" s="1">
        <v>0</v>
      </c>
    </row>
    <row r="80" spans="1:3" x14ac:dyDescent="0.15">
      <c r="A80" s="1" t="s">
        <v>39</v>
      </c>
      <c r="B80" s="1" t="s">
        <v>38</v>
      </c>
      <c r="C80" s="1">
        <v>0</v>
      </c>
    </row>
    <row r="81" spans="1:3" x14ac:dyDescent="0.15">
      <c r="A81" s="1" t="s">
        <v>40</v>
      </c>
      <c r="B81" s="1" t="s">
        <v>41</v>
      </c>
      <c r="C81" s="1">
        <v>1</v>
      </c>
    </row>
    <row r="82" spans="1:3" x14ac:dyDescent="0.15">
      <c r="A82" s="1" t="s">
        <v>42</v>
      </c>
      <c r="B82" s="1" t="s">
        <v>43</v>
      </c>
      <c r="C82" s="1">
        <v>0</v>
      </c>
    </row>
    <row r="83" spans="1:3" x14ac:dyDescent="0.15">
      <c r="A83" s="1" t="s">
        <v>44</v>
      </c>
      <c r="B83" s="1" t="s">
        <v>45</v>
      </c>
      <c r="C83" s="1">
        <v>0</v>
      </c>
    </row>
    <row r="84" spans="1:3" x14ac:dyDescent="0.15">
      <c r="A84" s="1" t="s">
        <v>46</v>
      </c>
      <c r="B84" s="1" t="s">
        <v>47</v>
      </c>
      <c r="C84" s="1">
        <v>1</v>
      </c>
    </row>
    <row r="85" spans="1:3" x14ac:dyDescent="0.15">
      <c r="A85" s="1" t="s">
        <v>48</v>
      </c>
      <c r="B85" s="1" t="s">
        <v>49</v>
      </c>
      <c r="C85" s="1">
        <v>0</v>
      </c>
    </row>
    <row r="86" spans="1:3" x14ac:dyDescent="0.15">
      <c r="A86" s="1" t="s">
        <v>50</v>
      </c>
      <c r="B86" s="1" t="s">
        <v>51</v>
      </c>
      <c r="C86" s="1">
        <v>0</v>
      </c>
    </row>
    <row r="87" spans="1:3" x14ac:dyDescent="0.15">
      <c r="A87" s="1" t="s">
        <v>52</v>
      </c>
      <c r="B87" s="1" t="s">
        <v>53</v>
      </c>
      <c r="C87" s="1">
        <v>1</v>
      </c>
    </row>
    <row r="88" spans="1:3" x14ac:dyDescent="0.15">
      <c r="A88" s="1" t="s">
        <v>54</v>
      </c>
      <c r="B88" s="1" t="s">
        <v>55</v>
      </c>
      <c r="C88" s="1">
        <v>1</v>
      </c>
    </row>
    <row r="89" spans="1:3" x14ac:dyDescent="0.15">
      <c r="A89" s="1" t="s">
        <v>58</v>
      </c>
      <c r="B89" s="1" t="s">
        <v>57</v>
      </c>
      <c r="C89" s="1">
        <v>0</v>
      </c>
    </row>
    <row r="90" spans="1:3" x14ac:dyDescent="0.15">
      <c r="A90" s="1" t="s">
        <v>56</v>
      </c>
      <c r="B90" s="1" t="s">
        <v>57</v>
      </c>
      <c r="C90" s="1">
        <v>0</v>
      </c>
    </row>
    <row r="91" spans="1:3" x14ac:dyDescent="0.15">
      <c r="A91" s="1" t="s">
        <v>59</v>
      </c>
      <c r="B91" s="1" t="s">
        <v>60</v>
      </c>
      <c r="C91" s="1">
        <v>0</v>
      </c>
    </row>
    <row r="92" spans="1:3" x14ac:dyDescent="0.15">
      <c r="A92" s="1" t="s">
        <v>61</v>
      </c>
      <c r="B92" s="1" t="s">
        <v>62</v>
      </c>
      <c r="C92" s="1">
        <v>1</v>
      </c>
    </row>
    <row r="93" spans="1:3" x14ac:dyDescent="0.15">
      <c r="A93" s="1" t="s">
        <v>63</v>
      </c>
      <c r="B93" s="1" t="s">
        <v>64</v>
      </c>
      <c r="C93" s="1">
        <v>0</v>
      </c>
    </row>
    <row r="94" spans="1:3" x14ac:dyDescent="0.15">
      <c r="A94" s="1" t="s">
        <v>65</v>
      </c>
      <c r="B94" s="1" t="s">
        <v>66</v>
      </c>
      <c r="C94" s="1">
        <v>0</v>
      </c>
    </row>
    <row r="95" spans="1:3" x14ac:dyDescent="0.15">
      <c r="A95" s="1" t="s">
        <v>67</v>
      </c>
      <c r="B95" s="1" t="s">
        <v>68</v>
      </c>
      <c r="C95" s="1">
        <v>0</v>
      </c>
    </row>
    <row r="96" spans="1:3" x14ac:dyDescent="0.15">
      <c r="A96" s="1" t="s">
        <v>69</v>
      </c>
      <c r="B96" s="1" t="s">
        <v>70</v>
      </c>
      <c r="C96" s="1">
        <v>1</v>
      </c>
    </row>
    <row r="97" spans="1:3" x14ac:dyDescent="0.15">
      <c r="A97" s="1" t="s">
        <v>71</v>
      </c>
      <c r="B97" s="1" t="s">
        <v>72</v>
      </c>
      <c r="C97" s="1">
        <v>0</v>
      </c>
    </row>
    <row r="98" spans="1:3" x14ac:dyDescent="0.15">
      <c r="A98" s="1" t="s">
        <v>73</v>
      </c>
      <c r="B98" s="1" t="s">
        <v>74</v>
      </c>
      <c r="C98" s="1">
        <v>0</v>
      </c>
    </row>
    <row r="99" spans="1:3" x14ac:dyDescent="0.15">
      <c r="A99" s="1" t="s">
        <v>75</v>
      </c>
      <c r="B99" s="1" t="s">
        <v>76</v>
      </c>
      <c r="C99" s="1">
        <v>0</v>
      </c>
    </row>
    <row r="100" spans="1:3" x14ac:dyDescent="0.15">
      <c r="A100" s="1" t="s">
        <v>77</v>
      </c>
      <c r="B100" s="1" t="s">
        <v>78</v>
      </c>
      <c r="C100" s="1">
        <v>1</v>
      </c>
    </row>
    <row r="101" spans="1:3" x14ac:dyDescent="0.15">
      <c r="A101" s="1" t="s">
        <v>81</v>
      </c>
      <c r="B101" s="1" t="s">
        <v>80</v>
      </c>
      <c r="C101" s="1">
        <v>0</v>
      </c>
    </row>
    <row r="102" spans="1:3" x14ac:dyDescent="0.15">
      <c r="A102" s="1" t="s">
        <v>79</v>
      </c>
      <c r="B102" s="1" t="s">
        <v>80</v>
      </c>
      <c r="C102" s="1">
        <v>0</v>
      </c>
    </row>
    <row r="103" spans="1:3" x14ac:dyDescent="0.15">
      <c r="A103" s="1" t="s">
        <v>82</v>
      </c>
      <c r="B103" s="1" t="s">
        <v>83</v>
      </c>
      <c r="C103" s="1">
        <v>0</v>
      </c>
    </row>
    <row r="104" spans="1:3" x14ac:dyDescent="0.15">
      <c r="A104" s="1" t="s">
        <v>84</v>
      </c>
      <c r="B104" s="1" t="s">
        <v>85</v>
      </c>
      <c r="C104" s="1">
        <v>1</v>
      </c>
    </row>
    <row r="105" spans="1:3" x14ac:dyDescent="0.15">
      <c r="A105" s="1" t="s">
        <v>86</v>
      </c>
      <c r="B105" s="1" t="s">
        <v>87</v>
      </c>
      <c r="C105" s="1">
        <v>0</v>
      </c>
    </row>
    <row r="106" spans="1:3" x14ac:dyDescent="0.15">
      <c r="A106" s="1" t="s">
        <v>88</v>
      </c>
      <c r="B106" s="1" t="s">
        <v>89</v>
      </c>
      <c r="C106" s="1">
        <v>1</v>
      </c>
    </row>
    <row r="107" spans="1:3" x14ac:dyDescent="0.15">
      <c r="A107" s="1" t="s">
        <v>90</v>
      </c>
      <c r="B107" s="1" t="s">
        <v>91</v>
      </c>
      <c r="C107" s="1">
        <v>0</v>
      </c>
    </row>
    <row r="108" spans="1:3" x14ac:dyDescent="0.15">
      <c r="A108" s="1" t="s">
        <v>92</v>
      </c>
      <c r="B108" s="1" t="s">
        <v>93</v>
      </c>
      <c r="C108" s="1">
        <v>1</v>
      </c>
    </row>
    <row r="109" spans="1:3" x14ac:dyDescent="0.15">
      <c r="A109" s="1" t="s">
        <v>94</v>
      </c>
      <c r="B109" s="1" t="s">
        <v>95</v>
      </c>
      <c r="C109" s="1">
        <v>1</v>
      </c>
    </row>
    <row r="110" spans="1:3" x14ac:dyDescent="0.15">
      <c r="A110" s="1" t="s">
        <v>96</v>
      </c>
      <c r="B110" s="1" t="s">
        <v>97</v>
      </c>
      <c r="C110" s="1">
        <v>1</v>
      </c>
    </row>
    <row r="111" spans="1:3" x14ac:dyDescent="0.15">
      <c r="A111" s="1" t="s">
        <v>98</v>
      </c>
      <c r="B111" s="1" t="s">
        <v>99</v>
      </c>
      <c r="C111" s="1">
        <v>0</v>
      </c>
    </row>
    <row r="112" spans="1:3" x14ac:dyDescent="0.15">
      <c r="A112" s="1" t="s">
        <v>100</v>
      </c>
      <c r="B112" s="1" t="s">
        <v>101</v>
      </c>
      <c r="C112" s="1">
        <v>1</v>
      </c>
    </row>
    <row r="113" spans="1:3" x14ac:dyDescent="0.15">
      <c r="A113" s="1" t="s">
        <v>102</v>
      </c>
      <c r="B113" s="1" t="s">
        <v>103</v>
      </c>
      <c r="C113" s="1">
        <v>1</v>
      </c>
    </row>
    <row r="114" spans="1:3" x14ac:dyDescent="0.15">
      <c r="A114" s="1" t="s">
        <v>104</v>
      </c>
      <c r="B114" s="1" t="s">
        <v>105</v>
      </c>
      <c r="C114" s="1">
        <v>0</v>
      </c>
    </row>
    <row r="115" spans="1:3" x14ac:dyDescent="0.15">
      <c r="A115" s="1" t="s">
        <v>106</v>
      </c>
      <c r="B115" s="1" t="s">
        <v>107</v>
      </c>
      <c r="C115" s="1">
        <v>1</v>
      </c>
    </row>
    <row r="116" spans="1:3" x14ac:dyDescent="0.15">
      <c r="A116" s="1" t="s">
        <v>108</v>
      </c>
      <c r="B116" s="1" t="s">
        <v>109</v>
      </c>
      <c r="C116" s="1">
        <v>0</v>
      </c>
    </row>
    <row r="117" spans="1:3" x14ac:dyDescent="0.15">
      <c r="A117" s="1" t="s">
        <v>110</v>
      </c>
      <c r="B117" s="1" t="s">
        <v>111</v>
      </c>
      <c r="C117" s="1">
        <v>0</v>
      </c>
    </row>
    <row r="118" spans="1:3" x14ac:dyDescent="0.15">
      <c r="A118" s="1" t="s">
        <v>112</v>
      </c>
      <c r="B118" s="1" t="s">
        <v>113</v>
      </c>
      <c r="C118" s="1">
        <v>0</v>
      </c>
    </row>
    <row r="119" spans="1:3" x14ac:dyDescent="0.15">
      <c r="A119" s="1" t="s">
        <v>114</v>
      </c>
      <c r="B119" s="1" t="s">
        <v>115</v>
      </c>
      <c r="C119" s="1">
        <v>1</v>
      </c>
    </row>
    <row r="120" spans="1:3" x14ac:dyDescent="0.15">
      <c r="A120" s="1" t="s">
        <v>116</v>
      </c>
      <c r="B120" s="1" t="s">
        <v>117</v>
      </c>
      <c r="C120" s="1">
        <v>0</v>
      </c>
    </row>
    <row r="121" spans="1:3" x14ac:dyDescent="0.15">
      <c r="A121" s="1" t="s">
        <v>133</v>
      </c>
      <c r="B121" s="1" t="s">
        <v>310</v>
      </c>
      <c r="C121" s="1">
        <v>1</v>
      </c>
    </row>
    <row r="122" spans="1:3" x14ac:dyDescent="0.15">
      <c r="A122" s="1" t="s">
        <v>118</v>
      </c>
      <c r="B122" s="1" t="s">
        <v>119</v>
      </c>
      <c r="C122" s="1">
        <v>1</v>
      </c>
    </row>
    <row r="123" spans="1:3" x14ac:dyDescent="0.15">
      <c r="A123" s="1" t="s">
        <v>120</v>
      </c>
      <c r="B123" s="1" t="s">
        <v>121</v>
      </c>
      <c r="C123" s="1">
        <v>1</v>
      </c>
    </row>
    <row r="124" spans="1:3" x14ac:dyDescent="0.15">
      <c r="A124" s="1" t="s">
        <v>122</v>
      </c>
      <c r="B124" s="1" t="s">
        <v>123</v>
      </c>
      <c r="C124" s="1">
        <v>0</v>
      </c>
    </row>
    <row r="125" spans="1:3" x14ac:dyDescent="0.15">
      <c r="A125" s="1" t="s">
        <v>125</v>
      </c>
      <c r="B125" s="1" t="s">
        <v>126</v>
      </c>
      <c r="C125" s="1">
        <v>0</v>
      </c>
    </row>
    <row r="126" spans="1:3" x14ac:dyDescent="0.15">
      <c r="A126" s="1" t="s">
        <v>171</v>
      </c>
      <c r="B126" s="1" t="s">
        <v>311</v>
      </c>
      <c r="C126" s="1">
        <v>1</v>
      </c>
    </row>
    <row r="127" spans="1:3" x14ac:dyDescent="0.15">
      <c r="A127" s="1" t="s">
        <v>127</v>
      </c>
      <c r="B127" s="1" t="s">
        <v>128</v>
      </c>
      <c r="C127" s="1">
        <v>1</v>
      </c>
    </row>
    <row r="128" spans="1:3" x14ac:dyDescent="0.15">
      <c r="A128" s="1" t="s">
        <v>129</v>
      </c>
      <c r="B128" s="1" t="s">
        <v>130</v>
      </c>
      <c r="C128" s="1">
        <v>0</v>
      </c>
    </row>
    <row r="129" spans="1:3" x14ac:dyDescent="0.15">
      <c r="A129" s="1" t="s">
        <v>131</v>
      </c>
      <c r="B129" s="1" t="s">
        <v>132</v>
      </c>
      <c r="C129" s="1">
        <v>0</v>
      </c>
    </row>
    <row r="130" spans="1:3" x14ac:dyDescent="0.15">
      <c r="A130" s="1" t="s">
        <v>135</v>
      </c>
      <c r="B130" s="1" t="s">
        <v>136</v>
      </c>
      <c r="C130" s="1">
        <v>0</v>
      </c>
    </row>
    <row r="131" spans="1:3" x14ac:dyDescent="0.15">
      <c r="A131" s="1" t="s">
        <v>137</v>
      </c>
      <c r="B131" s="1" t="s">
        <v>138</v>
      </c>
      <c r="C131" s="1">
        <v>0</v>
      </c>
    </row>
    <row r="132" spans="1:3" x14ac:dyDescent="0.15">
      <c r="A132" s="1" t="s">
        <v>139</v>
      </c>
      <c r="B132" s="1" t="s">
        <v>140</v>
      </c>
      <c r="C132" s="1">
        <v>0</v>
      </c>
    </row>
    <row r="133" spans="1:3" x14ac:dyDescent="0.15">
      <c r="A133" s="1" t="s">
        <v>141</v>
      </c>
      <c r="B133" s="1" t="s">
        <v>140</v>
      </c>
      <c r="C133" s="1">
        <v>0</v>
      </c>
    </row>
    <row r="134" spans="1:3" x14ac:dyDescent="0.15">
      <c r="A134" s="1" t="s">
        <v>143</v>
      </c>
      <c r="B134" s="1" t="s">
        <v>144</v>
      </c>
      <c r="C134" s="1">
        <v>0</v>
      </c>
    </row>
    <row r="135" spans="1:3" x14ac:dyDescent="0.15">
      <c r="A135" s="1" t="s">
        <v>145</v>
      </c>
      <c r="B135" s="1" t="s">
        <v>146</v>
      </c>
      <c r="C135" s="1">
        <v>0</v>
      </c>
    </row>
    <row r="136" spans="1:3" x14ac:dyDescent="0.15">
      <c r="A136" s="1" t="s">
        <v>147</v>
      </c>
      <c r="B136" s="1" t="s">
        <v>148</v>
      </c>
      <c r="C136" s="1">
        <v>0</v>
      </c>
    </row>
    <row r="137" spans="1:3" x14ac:dyDescent="0.15">
      <c r="A137" s="1" t="s">
        <v>149</v>
      </c>
      <c r="B137" s="1" t="s">
        <v>150</v>
      </c>
      <c r="C137" s="1">
        <v>0</v>
      </c>
    </row>
    <row r="138" spans="1:3" x14ac:dyDescent="0.15">
      <c r="A138" s="1" t="s">
        <v>151</v>
      </c>
      <c r="B138" s="1" t="s">
        <v>152</v>
      </c>
      <c r="C138" s="1">
        <v>0</v>
      </c>
    </row>
    <row r="139" spans="1:3" x14ac:dyDescent="0.15">
      <c r="A139" s="1" t="s">
        <v>153</v>
      </c>
      <c r="B139" s="1" t="s">
        <v>154</v>
      </c>
      <c r="C139" s="1">
        <v>1</v>
      </c>
    </row>
    <row r="140" spans="1:3" x14ac:dyDescent="0.15">
      <c r="A140" s="1" t="s">
        <v>155</v>
      </c>
      <c r="B140" s="1" t="s">
        <v>156</v>
      </c>
      <c r="C140" s="1">
        <v>1</v>
      </c>
    </row>
    <row r="141" spans="1:3" x14ac:dyDescent="0.15">
      <c r="A141" s="1" t="s">
        <v>157</v>
      </c>
      <c r="B141" s="1" t="s">
        <v>158</v>
      </c>
      <c r="C141" s="1">
        <v>1</v>
      </c>
    </row>
    <row r="142" spans="1:3" x14ac:dyDescent="0.15">
      <c r="A142" s="1" t="s">
        <v>159</v>
      </c>
      <c r="B142" s="1" t="s">
        <v>160</v>
      </c>
      <c r="C142" s="1">
        <v>0</v>
      </c>
    </row>
    <row r="143" spans="1:3" x14ac:dyDescent="0.15">
      <c r="A143" s="1" t="s">
        <v>161</v>
      </c>
      <c r="B143" s="1" t="s">
        <v>162</v>
      </c>
      <c r="C143" s="1">
        <v>1</v>
      </c>
    </row>
    <row r="144" spans="1:3" x14ac:dyDescent="0.15">
      <c r="A144" s="1" t="s">
        <v>163</v>
      </c>
      <c r="B144" s="1" t="s">
        <v>164</v>
      </c>
      <c r="C144" s="1">
        <v>0</v>
      </c>
    </row>
    <row r="145" spans="1:3" x14ac:dyDescent="0.15">
      <c r="A145" s="1" t="s">
        <v>165</v>
      </c>
      <c r="B145" s="1" t="s">
        <v>166</v>
      </c>
      <c r="C145" s="1">
        <v>0</v>
      </c>
    </row>
    <row r="146" spans="1:3" x14ac:dyDescent="0.15">
      <c r="A146" s="1" t="s">
        <v>167</v>
      </c>
      <c r="B146" s="1" t="s">
        <v>168</v>
      </c>
      <c r="C146" s="1">
        <v>0</v>
      </c>
    </row>
    <row r="147" spans="1:3" x14ac:dyDescent="0.15">
      <c r="A147" s="1" t="s">
        <v>169</v>
      </c>
      <c r="B147" s="1" t="s">
        <v>170</v>
      </c>
      <c r="C147" s="1">
        <v>1</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A136"/>
  <sheetViews>
    <sheetView zoomScale="90" zoomScaleNormal="90" workbookViewId="0">
      <selection activeCell="A137" sqref="A137"/>
    </sheetView>
  </sheetViews>
  <sheetFormatPr baseColWidth="10" defaultColWidth="11.6640625" defaultRowHeight="13" x14ac:dyDescent="0.15"/>
  <cols>
    <col min="1" max="1" width="11" style="1" customWidth="1"/>
    <col min="2" max="2" width="21.83203125" style="1" customWidth="1"/>
    <col min="3" max="3" width="8.5" style="1" customWidth="1"/>
    <col min="4" max="4" width="9.6640625" style="1" customWidth="1"/>
    <col min="5" max="5" width="16.1640625" style="1" customWidth="1"/>
    <col min="6" max="6" width="19.6640625" style="1" customWidth="1"/>
    <col min="7" max="7" width="20" style="1" customWidth="1"/>
    <col min="8" max="8" width="15.83203125" style="1" customWidth="1"/>
    <col min="9" max="9" width="21.5" style="1" customWidth="1"/>
    <col min="10" max="10" width="19.5" style="1" customWidth="1"/>
    <col min="11" max="11" width="25.1640625" style="1" customWidth="1"/>
    <col min="12" max="12" width="23.1640625" style="1" customWidth="1"/>
    <col min="13" max="13" width="19.6640625" style="1" customWidth="1"/>
    <col min="14" max="14" width="15.1640625" style="1" customWidth="1"/>
    <col min="15" max="15" width="26.5" style="1" customWidth="1"/>
    <col min="16" max="16" width="24.5" style="1" customWidth="1"/>
    <col min="17" max="17" width="30" style="1" customWidth="1"/>
    <col min="18" max="18" width="28" style="1" customWidth="1"/>
    <col min="19" max="19" width="24.6640625" style="1" customWidth="1"/>
    <col min="20" max="20" width="20.33203125" style="1" customWidth="1"/>
    <col min="21" max="21" width="21.6640625" style="1" customWidth="1"/>
    <col min="22" max="22" width="13.6640625" style="1" customWidth="1"/>
    <col min="23" max="23" width="33" style="1" customWidth="1"/>
    <col min="24" max="24" width="25.6640625" style="1" customWidth="1"/>
    <col min="25" max="25" width="26.83203125" style="1" customWidth="1"/>
    <col min="26" max="26" width="28.1640625" style="1" customWidth="1"/>
    <col min="27" max="27" width="29.1640625" style="1" customWidth="1"/>
    <col min="28" max="28" width="27" style="1" customWidth="1"/>
    <col min="29" max="29" width="22.1640625" style="1" customWidth="1"/>
    <col min="30" max="30" width="23.1640625" style="1" customWidth="1"/>
    <col min="31" max="31" width="28.5" style="1" customWidth="1"/>
    <col min="32" max="32" width="10" style="1" customWidth="1"/>
    <col min="33" max="33" width="16.83203125" style="1" customWidth="1"/>
    <col min="34" max="34" width="14.6640625" style="1" customWidth="1"/>
    <col min="35" max="35" width="19.33203125" style="1" customWidth="1"/>
    <col min="36" max="36" width="17.33203125" style="1" customWidth="1"/>
    <col min="37" max="39" width="12.5" style="1" customWidth="1"/>
    <col min="40" max="40" width="16.1640625" style="1" customWidth="1"/>
    <col min="41" max="41" width="18.6640625" style="1" customWidth="1"/>
    <col min="42" max="42" width="20.83203125" style="1" customWidth="1"/>
    <col min="43" max="43" width="19" style="1" customWidth="1"/>
    <col min="44" max="44" width="18.1640625" style="1" customWidth="1"/>
    <col min="45" max="45" width="16.1640625" style="1" customWidth="1"/>
    <col min="46" max="46" width="20.6640625" style="1" customWidth="1"/>
    <col min="47" max="47" width="18.6640625" style="1" customWidth="1"/>
    <col min="48" max="48" width="14.5" style="1" customWidth="1"/>
    <col min="49" max="49" width="12.33203125" style="1" customWidth="1"/>
    <col min="50" max="50" width="20.83203125" style="1" customWidth="1"/>
    <col min="51" max="51" width="18.83203125" style="1" customWidth="1"/>
    <col min="52" max="54" width="13" style="1" customWidth="1"/>
    <col min="55" max="55" width="16.6640625" style="1" customWidth="1"/>
    <col min="56" max="56" width="19.1640625" style="1" customWidth="1"/>
    <col min="57" max="57" width="26.83203125" style="1" customWidth="1"/>
    <col min="58" max="58" width="24.83203125" style="1" customWidth="1"/>
    <col min="59" max="61" width="8.5" style="1" customWidth="1"/>
    <col min="62" max="62" width="19" style="1" customWidth="1"/>
    <col min="63" max="63" width="17" style="1" customWidth="1"/>
    <col min="64" max="64" width="23.6640625" style="1" customWidth="1"/>
    <col min="65" max="65" width="21.6640625" style="1" customWidth="1"/>
    <col min="66" max="66" width="17.6640625" style="1" customWidth="1"/>
    <col min="67" max="67" width="15.6640625" style="1" customWidth="1"/>
    <col min="68" max="70" width="10.6640625" style="1" customWidth="1"/>
    <col min="71" max="71" width="12.83203125" style="1" customWidth="1"/>
    <col min="72" max="72" width="14.6640625" style="1" customWidth="1"/>
    <col min="73" max="73" width="25.1640625" style="1" customWidth="1"/>
    <col min="74" max="74" width="27" style="1" customWidth="1"/>
    <col min="75" max="75" width="26" style="1" customWidth="1"/>
    <col min="76" max="76" width="27.83203125" style="1" customWidth="1"/>
    <col min="77" max="77" width="22.33203125" style="1" customWidth="1"/>
    <col min="78" max="78" width="24.1640625" style="1" customWidth="1"/>
    <col min="79" max="79" width="26.6640625" style="1" customWidth="1"/>
    <col min="80" max="80" width="28.6640625" style="1" customWidth="1"/>
    <col min="81" max="81" width="24.5" style="1" customWidth="1"/>
    <col min="82" max="82" width="26.1640625" style="1" customWidth="1"/>
    <col min="83" max="83" width="26.6640625" style="1" customWidth="1"/>
    <col min="84" max="84" width="28.5" style="1" customWidth="1"/>
    <col min="85" max="85" width="28.83203125" style="1" customWidth="1"/>
    <col min="86" max="86" width="30.6640625" style="1" customWidth="1"/>
    <col min="87" max="87" width="28.6640625" style="1" customWidth="1"/>
    <col min="88" max="88" width="30.6640625" style="1" customWidth="1"/>
    <col min="89" max="89" width="34" style="1" customWidth="1"/>
    <col min="90" max="90" width="35.83203125" style="1" customWidth="1"/>
    <col min="91" max="91" width="34" style="1" customWidth="1"/>
    <col min="92" max="92" width="35.83203125" style="1" customWidth="1"/>
    <col min="93" max="93" width="32.83203125" style="1" customWidth="1"/>
    <col min="94" max="94" width="34.6640625" style="1" customWidth="1"/>
    <col min="95" max="95" width="32.83203125" style="1" customWidth="1"/>
    <col min="96" max="96" width="34.6640625" style="1" customWidth="1"/>
    <col min="97" max="97" width="36.1640625" style="1" customWidth="1"/>
    <col min="98" max="98" width="36.33203125" style="1" customWidth="1"/>
    <col min="99" max="99" width="35" style="1" customWidth="1"/>
    <col min="100" max="100" width="34" style="1" customWidth="1"/>
    <col min="101" max="101" width="33.83203125" style="1" customWidth="1"/>
    <col min="102" max="102" width="43.1640625" style="1" customWidth="1"/>
    <col min="103" max="103" width="34.5" style="1" customWidth="1"/>
    <col min="104" max="104" width="41" style="1" customWidth="1"/>
    <col min="105" max="105" width="17.33203125" style="1" customWidth="1"/>
    <col min="106" max="16384" width="11.6640625" style="1"/>
  </cols>
  <sheetData>
    <row r="1" spans="1:105" x14ac:dyDescent="0.15">
      <c r="A1" s="1" t="s">
        <v>0</v>
      </c>
      <c r="B1" s="1" t="s">
        <v>1</v>
      </c>
      <c r="C1" s="1" t="s">
        <v>312</v>
      </c>
      <c r="D1" s="1" t="s">
        <v>313</v>
      </c>
      <c r="E1" s="1" t="s">
        <v>314</v>
      </c>
      <c r="F1" s="1" t="s">
        <v>315</v>
      </c>
      <c r="G1" s="1" t="s">
        <v>316</v>
      </c>
      <c r="H1" s="1" t="s">
        <v>317</v>
      </c>
      <c r="I1" s="1" t="s">
        <v>318</v>
      </c>
      <c r="J1" s="1" t="s">
        <v>319</v>
      </c>
      <c r="K1" s="1" t="s">
        <v>320</v>
      </c>
      <c r="L1" s="1" t="s">
        <v>321</v>
      </c>
      <c r="M1" s="1" t="s">
        <v>322</v>
      </c>
      <c r="N1" s="1" t="s">
        <v>323</v>
      </c>
      <c r="O1" s="1" t="s">
        <v>324</v>
      </c>
      <c r="P1" s="1" t="s">
        <v>325</v>
      </c>
      <c r="Q1" s="1" t="s">
        <v>326</v>
      </c>
      <c r="R1" s="1" t="s">
        <v>327</v>
      </c>
      <c r="S1" s="1" t="s">
        <v>328</v>
      </c>
      <c r="T1" s="1" t="s">
        <v>329</v>
      </c>
      <c r="U1" s="1" t="s">
        <v>330</v>
      </c>
      <c r="V1" s="1" t="s">
        <v>331</v>
      </c>
      <c r="W1" s="1" t="s">
        <v>332</v>
      </c>
      <c r="X1" s="1" t="s">
        <v>333</v>
      </c>
      <c r="Y1" s="1" t="s">
        <v>334</v>
      </c>
      <c r="Z1" s="1" t="s">
        <v>335</v>
      </c>
      <c r="AA1" s="1" t="s">
        <v>336</v>
      </c>
      <c r="AB1" s="1" t="s">
        <v>337</v>
      </c>
      <c r="AC1" s="1" t="s">
        <v>338</v>
      </c>
      <c r="AD1" s="1" t="s">
        <v>339</v>
      </c>
      <c r="AE1" s="1" t="s">
        <v>340</v>
      </c>
      <c r="AF1" s="1" t="s">
        <v>341</v>
      </c>
      <c r="AG1" s="1" t="s">
        <v>342</v>
      </c>
      <c r="AH1" s="1" t="s">
        <v>343</v>
      </c>
      <c r="AI1" s="1" t="s">
        <v>344</v>
      </c>
      <c r="AJ1" s="1" t="s">
        <v>345</v>
      </c>
      <c r="AK1" s="1" t="s">
        <v>346</v>
      </c>
      <c r="AL1" s="1" t="s">
        <v>347</v>
      </c>
      <c r="AM1" s="1" t="s">
        <v>348</v>
      </c>
      <c r="AN1" s="1" t="s">
        <v>349</v>
      </c>
      <c r="AO1" s="1" t="s">
        <v>350</v>
      </c>
      <c r="AP1" s="1" t="s">
        <v>351</v>
      </c>
      <c r="AQ1" s="1" t="s">
        <v>352</v>
      </c>
      <c r="AR1" s="1" t="s">
        <v>353</v>
      </c>
      <c r="AS1" s="1" t="s">
        <v>354</v>
      </c>
      <c r="AT1" s="1" t="s">
        <v>355</v>
      </c>
      <c r="AU1" s="1" t="s">
        <v>356</v>
      </c>
      <c r="AV1" s="1" t="s">
        <v>357</v>
      </c>
      <c r="AW1" s="1" t="s">
        <v>358</v>
      </c>
      <c r="AX1" s="1" t="s">
        <v>359</v>
      </c>
      <c r="AY1" s="1" t="s">
        <v>360</v>
      </c>
      <c r="AZ1" s="1" t="s">
        <v>361</v>
      </c>
      <c r="BA1" s="1" t="s">
        <v>362</v>
      </c>
      <c r="BB1" s="1" t="s">
        <v>363</v>
      </c>
      <c r="BC1" s="1" t="s">
        <v>364</v>
      </c>
      <c r="BD1" s="1" t="s">
        <v>365</v>
      </c>
      <c r="BE1" s="1" t="s">
        <v>366</v>
      </c>
      <c r="BF1" s="1" t="s">
        <v>367</v>
      </c>
      <c r="BG1" s="1" t="s">
        <v>368</v>
      </c>
      <c r="BH1" s="1" t="s">
        <v>369</v>
      </c>
      <c r="BI1" s="1" t="s">
        <v>370</v>
      </c>
      <c r="BJ1" s="1" t="s">
        <v>371</v>
      </c>
      <c r="BK1" s="1" t="s">
        <v>372</v>
      </c>
      <c r="BL1" s="1" t="s">
        <v>373</v>
      </c>
      <c r="BM1" s="1" t="s">
        <v>374</v>
      </c>
      <c r="BN1" s="1" t="s">
        <v>375</v>
      </c>
      <c r="BO1" s="1" t="s">
        <v>376</v>
      </c>
      <c r="BP1" s="1" t="s">
        <v>377</v>
      </c>
      <c r="BQ1" s="1" t="s">
        <v>378</v>
      </c>
      <c r="BR1" s="1" t="s">
        <v>379</v>
      </c>
      <c r="BS1" s="1" t="s">
        <v>380</v>
      </c>
      <c r="BT1" s="1" t="s">
        <v>381</v>
      </c>
      <c r="BU1" s="1" t="s">
        <v>382</v>
      </c>
      <c r="BV1" s="1" t="s">
        <v>383</v>
      </c>
      <c r="BW1" s="1" t="s">
        <v>384</v>
      </c>
      <c r="BX1" s="1" t="s">
        <v>385</v>
      </c>
      <c r="BY1" s="1" t="s">
        <v>386</v>
      </c>
      <c r="BZ1" s="1" t="s">
        <v>387</v>
      </c>
      <c r="CA1" s="1" t="s">
        <v>388</v>
      </c>
      <c r="CB1" s="1" t="s">
        <v>389</v>
      </c>
      <c r="CC1" s="1" t="s">
        <v>390</v>
      </c>
      <c r="CD1" s="1" t="s">
        <v>391</v>
      </c>
      <c r="CE1" s="1" t="s">
        <v>392</v>
      </c>
      <c r="CF1" s="1" t="s">
        <v>393</v>
      </c>
      <c r="CG1" s="1" t="s">
        <v>394</v>
      </c>
      <c r="CH1" s="1" t="s">
        <v>395</v>
      </c>
      <c r="CI1" s="1" t="s">
        <v>396</v>
      </c>
      <c r="CJ1" s="1" t="s">
        <v>397</v>
      </c>
      <c r="CK1" s="1" t="s">
        <v>398</v>
      </c>
      <c r="CL1" s="1" t="s">
        <v>399</v>
      </c>
      <c r="CM1" s="1" t="s">
        <v>400</v>
      </c>
      <c r="CN1" s="1" t="s">
        <v>401</v>
      </c>
      <c r="CO1" s="1" t="s">
        <v>402</v>
      </c>
      <c r="CP1" s="1" t="s">
        <v>403</v>
      </c>
      <c r="CQ1" s="1" t="s">
        <v>404</v>
      </c>
      <c r="CR1" s="1" t="s">
        <v>405</v>
      </c>
      <c r="CS1" s="1" t="s">
        <v>406</v>
      </c>
      <c r="CT1" s="1" t="s">
        <v>407</v>
      </c>
      <c r="CU1" s="1" t="s">
        <v>408</v>
      </c>
      <c r="CV1" s="1" t="s">
        <v>409</v>
      </c>
      <c r="CW1" s="1" t="s">
        <v>410</v>
      </c>
      <c r="CX1" s="1" t="s">
        <v>411</v>
      </c>
      <c r="CY1" s="1" t="s">
        <v>412</v>
      </c>
      <c r="CZ1" s="1" t="s">
        <v>413</v>
      </c>
      <c r="DA1" s="1" t="s">
        <v>414</v>
      </c>
    </row>
    <row r="2" spans="1:105" s="4" customFormat="1" x14ac:dyDescent="0.15">
      <c r="A2" s="4" t="s">
        <v>301</v>
      </c>
      <c r="B2" s="4" t="s">
        <v>415</v>
      </c>
      <c r="C2" s="4">
        <v>3</v>
      </c>
      <c r="D2" s="4">
        <v>13</v>
      </c>
      <c r="E2" s="4">
        <v>42</v>
      </c>
      <c r="F2" s="4">
        <v>113</v>
      </c>
      <c r="G2" s="4">
        <v>102</v>
      </c>
      <c r="H2" s="4">
        <v>9</v>
      </c>
      <c r="I2" s="4">
        <v>70</v>
      </c>
      <c r="J2" s="4">
        <v>63</v>
      </c>
      <c r="K2" s="4">
        <v>42</v>
      </c>
      <c r="L2" s="4">
        <v>61</v>
      </c>
      <c r="M2" s="4">
        <v>124</v>
      </c>
      <c r="N2" s="4">
        <v>119</v>
      </c>
      <c r="O2" s="4">
        <v>60</v>
      </c>
      <c r="P2" s="4">
        <v>64</v>
      </c>
      <c r="Q2" s="4">
        <v>26</v>
      </c>
      <c r="R2" s="4">
        <v>58</v>
      </c>
      <c r="S2" s="4">
        <v>122</v>
      </c>
      <c r="T2" s="4">
        <v>119</v>
      </c>
      <c r="U2" s="4">
        <v>245</v>
      </c>
      <c r="V2" s="4">
        <v>121</v>
      </c>
      <c r="W2" s="4">
        <v>120</v>
      </c>
      <c r="X2" s="4">
        <v>44</v>
      </c>
      <c r="Y2" s="4">
        <v>0</v>
      </c>
      <c r="Z2" s="4">
        <v>44</v>
      </c>
      <c r="AA2" s="4">
        <v>16</v>
      </c>
      <c r="AB2" s="4">
        <v>120</v>
      </c>
      <c r="AC2" s="4">
        <v>75</v>
      </c>
      <c r="AD2" s="4">
        <v>12</v>
      </c>
      <c r="AE2" s="4">
        <v>28</v>
      </c>
      <c r="AF2" s="4">
        <v>122</v>
      </c>
      <c r="AG2" s="4">
        <v>18</v>
      </c>
      <c r="AH2" s="4">
        <v>66</v>
      </c>
      <c r="AI2" s="4">
        <v>66</v>
      </c>
      <c r="AJ2" s="4">
        <v>62</v>
      </c>
      <c r="AK2" s="4">
        <v>9</v>
      </c>
      <c r="AL2" s="4">
        <v>10</v>
      </c>
      <c r="AM2" s="4">
        <v>12</v>
      </c>
      <c r="AN2" s="4">
        <v>31</v>
      </c>
      <c r="AO2" s="4">
        <v>56</v>
      </c>
      <c r="AP2" s="4">
        <v>11</v>
      </c>
      <c r="AQ2" s="4">
        <v>55</v>
      </c>
      <c r="AR2" s="4">
        <v>12</v>
      </c>
      <c r="AS2" s="4">
        <v>57</v>
      </c>
      <c r="AT2" s="4">
        <v>22</v>
      </c>
      <c r="AU2" s="4">
        <v>73</v>
      </c>
      <c r="AV2" s="4">
        <v>20</v>
      </c>
      <c r="AW2" s="4">
        <v>65</v>
      </c>
      <c r="AX2" s="4">
        <v>26</v>
      </c>
      <c r="AY2" s="4">
        <v>74</v>
      </c>
      <c r="AZ2" s="4">
        <v>12</v>
      </c>
      <c r="BA2" s="4">
        <v>12</v>
      </c>
      <c r="BB2" s="4">
        <v>12</v>
      </c>
      <c r="BC2" s="4">
        <v>36</v>
      </c>
      <c r="BD2" s="4">
        <v>74</v>
      </c>
      <c r="BE2" s="4">
        <v>12</v>
      </c>
      <c r="BF2" s="4">
        <v>65</v>
      </c>
      <c r="BG2" s="4">
        <v>14</v>
      </c>
      <c r="BH2" s="4">
        <v>15</v>
      </c>
      <c r="BI2" s="4">
        <v>16</v>
      </c>
      <c r="BJ2" s="4">
        <v>46</v>
      </c>
      <c r="BK2" s="4">
        <v>46</v>
      </c>
      <c r="BL2" s="4">
        <v>24</v>
      </c>
      <c r="BM2" s="4">
        <v>52</v>
      </c>
      <c r="BN2" s="4">
        <v>85</v>
      </c>
      <c r="BO2" s="4">
        <v>34</v>
      </c>
      <c r="BP2" s="4">
        <v>3.4</v>
      </c>
      <c r="BQ2" s="4">
        <v>2.61</v>
      </c>
      <c r="BR2" s="4">
        <v>1.1100000000000001</v>
      </c>
      <c r="BS2" s="4">
        <v>2.38</v>
      </c>
      <c r="BT2" s="4">
        <v>43</v>
      </c>
      <c r="BU2" s="4">
        <v>1</v>
      </c>
      <c r="BV2" s="4">
        <v>46.64</v>
      </c>
      <c r="BW2" s="4">
        <v>7</v>
      </c>
      <c r="BX2" s="4">
        <v>44.97</v>
      </c>
      <c r="BY2" s="4">
        <v>403.23</v>
      </c>
      <c r="BZ2" s="4">
        <v>49.26</v>
      </c>
      <c r="CA2" s="4">
        <v>5.38</v>
      </c>
      <c r="CB2" s="4">
        <v>52.43</v>
      </c>
      <c r="CC2" s="4">
        <v>6.94</v>
      </c>
      <c r="CD2" s="4">
        <v>53.33</v>
      </c>
      <c r="CE2" s="4">
        <v>0.93</v>
      </c>
      <c r="CF2" s="4">
        <v>49.37</v>
      </c>
      <c r="CG2" s="4">
        <v>0.73</v>
      </c>
      <c r="CH2" s="4">
        <v>50.14</v>
      </c>
      <c r="CI2" s="4">
        <v>0</v>
      </c>
      <c r="CJ2" s="4">
        <v>45.91</v>
      </c>
      <c r="CK2" s="4">
        <v>0.02</v>
      </c>
      <c r="CL2" s="4">
        <v>58.42</v>
      </c>
      <c r="CM2" s="4">
        <v>-0.01</v>
      </c>
      <c r="CN2" s="4">
        <v>53.38</v>
      </c>
      <c r="CO2" s="4">
        <v>7.0000000000000007E-2</v>
      </c>
      <c r="CP2" s="4">
        <v>58.54</v>
      </c>
      <c r="CQ2" s="4">
        <v>0.08</v>
      </c>
      <c r="CR2" s="4">
        <v>60.2</v>
      </c>
      <c r="CS2" s="4">
        <v>63</v>
      </c>
      <c r="CT2" s="4">
        <v>43</v>
      </c>
      <c r="CU2" s="4">
        <v>73</v>
      </c>
      <c r="CV2" s="4">
        <v>56</v>
      </c>
      <c r="CW2" s="4">
        <v>74</v>
      </c>
      <c r="CX2" s="4">
        <v>74</v>
      </c>
      <c r="CY2" s="4">
        <v>34</v>
      </c>
      <c r="CZ2" s="4">
        <v>65</v>
      </c>
      <c r="DA2" s="4">
        <v>1</v>
      </c>
    </row>
    <row r="3" spans="1:105" s="4" customFormat="1" x14ac:dyDescent="0.15">
      <c r="A3" s="4" t="s">
        <v>159</v>
      </c>
      <c r="B3" s="4" t="s">
        <v>416</v>
      </c>
      <c r="C3" s="4">
        <v>3</v>
      </c>
      <c r="D3" s="4">
        <v>13</v>
      </c>
      <c r="E3" s="4">
        <v>42</v>
      </c>
      <c r="F3" s="4">
        <v>114</v>
      </c>
      <c r="G3" s="4">
        <v>102</v>
      </c>
      <c r="H3" s="4">
        <v>12</v>
      </c>
      <c r="I3" s="4">
        <v>64</v>
      </c>
      <c r="J3" s="4">
        <v>58</v>
      </c>
      <c r="K3" s="4">
        <v>40</v>
      </c>
      <c r="L3" s="4">
        <v>58</v>
      </c>
      <c r="M3" s="4">
        <v>116</v>
      </c>
      <c r="N3" s="4">
        <v>112</v>
      </c>
      <c r="O3" s="4">
        <v>64</v>
      </c>
      <c r="P3" s="4">
        <v>64</v>
      </c>
      <c r="Q3" s="4">
        <v>34</v>
      </c>
      <c r="R3" s="4">
        <v>68</v>
      </c>
      <c r="S3" s="4">
        <v>132</v>
      </c>
      <c r="T3" s="4">
        <v>129</v>
      </c>
      <c r="U3" s="4">
        <v>248</v>
      </c>
      <c r="V3" s="4">
        <v>123</v>
      </c>
      <c r="W3" s="4">
        <v>120</v>
      </c>
      <c r="X3" s="4">
        <v>32</v>
      </c>
      <c r="Y3" s="4">
        <v>0</v>
      </c>
      <c r="Z3" s="4">
        <v>32</v>
      </c>
      <c r="AA3" s="4">
        <v>9</v>
      </c>
      <c r="AB3" s="4">
        <v>120</v>
      </c>
      <c r="AC3" s="4">
        <v>65</v>
      </c>
      <c r="AD3" s="4">
        <v>9</v>
      </c>
      <c r="AE3" s="4">
        <v>18</v>
      </c>
      <c r="AF3" s="4">
        <v>94</v>
      </c>
      <c r="AG3" s="4">
        <v>36</v>
      </c>
      <c r="AH3" s="4">
        <v>35</v>
      </c>
      <c r="AI3" s="4">
        <v>54</v>
      </c>
      <c r="AJ3" s="4">
        <v>42</v>
      </c>
      <c r="AK3" s="4">
        <v>7</v>
      </c>
      <c r="AL3" s="4">
        <v>11</v>
      </c>
      <c r="AM3" s="4">
        <v>11</v>
      </c>
      <c r="AN3" s="4">
        <v>29</v>
      </c>
      <c r="AO3" s="4">
        <v>51</v>
      </c>
      <c r="AP3" s="4">
        <v>11</v>
      </c>
      <c r="AQ3" s="4">
        <v>53</v>
      </c>
      <c r="AR3" s="4">
        <v>12</v>
      </c>
      <c r="AS3" s="4">
        <v>58</v>
      </c>
      <c r="AT3" s="4">
        <v>22</v>
      </c>
      <c r="AU3" s="4">
        <v>62</v>
      </c>
      <c r="AV3" s="4">
        <v>17</v>
      </c>
      <c r="AW3" s="4">
        <v>50</v>
      </c>
      <c r="AX3" s="4">
        <v>20</v>
      </c>
      <c r="AY3" s="4">
        <v>41</v>
      </c>
      <c r="AZ3" s="4">
        <v>10</v>
      </c>
      <c r="BA3" s="4">
        <v>12</v>
      </c>
      <c r="BB3" s="4">
        <v>12</v>
      </c>
      <c r="BC3" s="4">
        <v>34</v>
      </c>
      <c r="BD3" s="4">
        <v>59</v>
      </c>
      <c r="BE3" s="4">
        <v>12</v>
      </c>
      <c r="BF3" s="4">
        <v>60</v>
      </c>
      <c r="BG3" s="4">
        <v>21</v>
      </c>
      <c r="BH3" s="4">
        <v>13</v>
      </c>
      <c r="BI3" s="4">
        <v>16</v>
      </c>
      <c r="BJ3" s="4">
        <v>50</v>
      </c>
      <c r="BK3" s="4">
        <v>47</v>
      </c>
      <c r="BL3" s="4">
        <v>25</v>
      </c>
      <c r="BM3" s="4">
        <v>52</v>
      </c>
      <c r="BN3" s="4">
        <v>109</v>
      </c>
      <c r="BO3" s="4">
        <v>66</v>
      </c>
      <c r="BP3" s="4">
        <v>4.24</v>
      </c>
      <c r="BQ3" s="4">
        <v>4.24</v>
      </c>
      <c r="BR3" s="4">
        <v>3.34</v>
      </c>
      <c r="BS3" s="4">
        <v>3.94</v>
      </c>
      <c r="BT3" s="4">
        <v>62</v>
      </c>
      <c r="BU3" s="4">
        <v>1</v>
      </c>
      <c r="BV3" s="4">
        <v>43.87</v>
      </c>
      <c r="BW3" s="4">
        <v>1</v>
      </c>
      <c r="BX3" s="4">
        <v>32.89</v>
      </c>
      <c r="BY3" s="4">
        <v>432.72</v>
      </c>
      <c r="BZ3" s="4">
        <v>58.1</v>
      </c>
      <c r="CA3" s="4">
        <v>4.67</v>
      </c>
      <c r="CB3" s="4">
        <v>46.31</v>
      </c>
      <c r="CC3" s="4">
        <v>5.61</v>
      </c>
      <c r="CD3" s="4">
        <v>45.9</v>
      </c>
      <c r="CE3" s="4">
        <v>1.87</v>
      </c>
      <c r="CF3" s="4">
        <v>23.53</v>
      </c>
      <c r="CG3" s="4">
        <v>2.3199999999999998</v>
      </c>
      <c r="CH3" s="4">
        <v>67.16</v>
      </c>
      <c r="CI3" s="4">
        <v>0</v>
      </c>
      <c r="CJ3" s="4">
        <v>44.54</v>
      </c>
      <c r="CK3" s="4">
        <v>-0.02</v>
      </c>
      <c r="CL3" s="4">
        <v>43.35</v>
      </c>
      <c r="CM3" s="4">
        <v>-0.05</v>
      </c>
      <c r="CN3" s="4">
        <v>42.76</v>
      </c>
      <c r="CO3" s="4">
        <v>0.08</v>
      </c>
      <c r="CP3" s="4">
        <v>59.16</v>
      </c>
      <c r="CQ3" s="4">
        <v>-0.12</v>
      </c>
      <c r="CR3" s="4">
        <v>37.61</v>
      </c>
      <c r="CS3" s="4">
        <v>40</v>
      </c>
      <c r="CT3" s="4">
        <v>62</v>
      </c>
      <c r="CU3" s="4">
        <v>58</v>
      </c>
      <c r="CV3" s="4">
        <v>51</v>
      </c>
      <c r="CW3" s="4">
        <v>59</v>
      </c>
      <c r="CX3" s="4">
        <v>41</v>
      </c>
      <c r="CY3" s="4">
        <v>66</v>
      </c>
      <c r="CZ3" s="4">
        <v>56</v>
      </c>
      <c r="DA3" s="4">
        <v>1</v>
      </c>
    </row>
    <row r="4" spans="1:105" x14ac:dyDescent="0.15">
      <c r="A4" s="1" t="s">
        <v>180</v>
      </c>
      <c r="B4" s="1" t="s">
        <v>417</v>
      </c>
      <c r="C4" s="1">
        <v>1</v>
      </c>
      <c r="D4" s="1">
        <v>14</v>
      </c>
      <c r="E4" s="1">
        <v>36</v>
      </c>
      <c r="F4" s="1">
        <v>105</v>
      </c>
      <c r="G4" s="1">
        <v>105</v>
      </c>
      <c r="H4" s="1">
        <v>0</v>
      </c>
      <c r="I4" s="1">
        <v>68</v>
      </c>
      <c r="J4" s="1">
        <v>61</v>
      </c>
      <c r="K4" s="1">
        <v>43</v>
      </c>
      <c r="L4" s="1">
        <v>64</v>
      </c>
      <c r="M4" s="1">
        <v>125</v>
      </c>
      <c r="N4" s="1">
        <v>120</v>
      </c>
      <c r="O4" s="1">
        <v>54</v>
      </c>
      <c r="P4" s="1">
        <v>63</v>
      </c>
      <c r="Q4" s="1">
        <v>28</v>
      </c>
      <c r="R4" s="1">
        <v>64</v>
      </c>
      <c r="S4" s="1">
        <v>127</v>
      </c>
      <c r="T4" s="1">
        <v>124</v>
      </c>
      <c r="U4" s="1">
        <v>252</v>
      </c>
      <c r="V4" s="1">
        <v>125</v>
      </c>
      <c r="W4" s="1">
        <v>120</v>
      </c>
      <c r="X4" s="1">
        <v>28</v>
      </c>
      <c r="Y4" s="1">
        <v>0</v>
      </c>
      <c r="Z4" s="1">
        <v>28</v>
      </c>
      <c r="AA4" s="1">
        <v>10</v>
      </c>
      <c r="AB4" s="1">
        <v>120</v>
      </c>
      <c r="AC4" s="1">
        <v>55</v>
      </c>
      <c r="AD4" s="1">
        <v>9</v>
      </c>
      <c r="AE4" s="1">
        <v>19</v>
      </c>
      <c r="AF4" s="1">
        <v>97</v>
      </c>
      <c r="AG4" s="1">
        <v>26</v>
      </c>
      <c r="AH4" s="1">
        <v>54</v>
      </c>
      <c r="AI4" s="1">
        <v>52</v>
      </c>
      <c r="AJ4" s="1">
        <v>53</v>
      </c>
      <c r="AK4" s="1">
        <v>7</v>
      </c>
      <c r="AL4" s="1">
        <v>10</v>
      </c>
      <c r="AM4" s="1">
        <v>12</v>
      </c>
      <c r="AN4" s="1">
        <v>29</v>
      </c>
      <c r="AO4" s="1">
        <v>53</v>
      </c>
      <c r="AP4" s="1">
        <v>12</v>
      </c>
      <c r="AQ4" s="1">
        <v>61</v>
      </c>
      <c r="AR4" s="1">
        <v>11</v>
      </c>
      <c r="AS4" s="1">
        <v>52</v>
      </c>
      <c r="AT4" s="1">
        <v>18</v>
      </c>
      <c r="AU4" s="1">
        <v>57</v>
      </c>
      <c r="AV4" s="1">
        <v>16</v>
      </c>
      <c r="AW4" s="1">
        <v>51</v>
      </c>
      <c r="AX4" s="1">
        <v>21</v>
      </c>
      <c r="AY4" s="1">
        <v>57</v>
      </c>
      <c r="AZ4" s="1">
        <v>4</v>
      </c>
      <c r="BA4" s="1">
        <v>8</v>
      </c>
      <c r="BB4" s="1">
        <v>11</v>
      </c>
      <c r="BC4" s="1">
        <v>23</v>
      </c>
      <c r="BD4" s="1">
        <v>54</v>
      </c>
      <c r="BE4" s="1">
        <v>9</v>
      </c>
      <c r="BF4" s="1">
        <v>52</v>
      </c>
      <c r="BG4" s="1">
        <v>12</v>
      </c>
      <c r="BH4" s="1">
        <v>12</v>
      </c>
      <c r="BI4" s="1">
        <v>15</v>
      </c>
      <c r="BJ4" s="1">
        <v>39</v>
      </c>
      <c r="BK4" s="1">
        <v>43</v>
      </c>
      <c r="BL4" s="1">
        <v>25</v>
      </c>
      <c r="BM4" s="1">
        <v>54</v>
      </c>
      <c r="BN4" s="1">
        <v>93</v>
      </c>
      <c r="BO4" s="1">
        <v>44</v>
      </c>
      <c r="BP4" s="1">
        <v>4.24</v>
      </c>
      <c r="BQ4" s="1">
        <v>3.23</v>
      </c>
      <c r="BR4" s="1">
        <v>1.01</v>
      </c>
      <c r="BS4" s="1">
        <v>2.83</v>
      </c>
      <c r="BT4" s="1">
        <v>49</v>
      </c>
      <c r="BU4" s="1">
        <v>3</v>
      </c>
      <c r="BV4" s="1">
        <v>49.12</v>
      </c>
      <c r="BW4" s="1">
        <v>15</v>
      </c>
      <c r="BX4" s="1">
        <v>52.41</v>
      </c>
      <c r="BY4" s="1">
        <v>388.52</v>
      </c>
      <c r="BZ4" s="1">
        <v>43.58</v>
      </c>
      <c r="CA4" s="1">
        <v>6.18</v>
      </c>
      <c r="CB4" s="1">
        <v>53.05</v>
      </c>
      <c r="CC4" s="1">
        <v>7.63</v>
      </c>
      <c r="CD4" s="1">
        <v>49.56</v>
      </c>
      <c r="CE4" s="1">
        <v>0.26</v>
      </c>
      <c r="CF4" s="1">
        <v>57.01</v>
      </c>
      <c r="CG4" s="1">
        <v>1.06</v>
      </c>
      <c r="CH4" s="1">
        <v>61.46</v>
      </c>
      <c r="CI4" s="1">
        <v>0</v>
      </c>
      <c r="CJ4" s="1">
        <v>42.49</v>
      </c>
      <c r="CK4" s="1">
        <v>0.01</v>
      </c>
      <c r="CL4" s="1">
        <v>49.75</v>
      </c>
      <c r="CM4" s="1">
        <v>0.1</v>
      </c>
      <c r="CN4" s="1">
        <v>66.17</v>
      </c>
      <c r="CO4" s="1">
        <v>0.06</v>
      </c>
      <c r="CP4" s="1">
        <v>56.01</v>
      </c>
      <c r="CQ4" s="1">
        <v>0.06</v>
      </c>
      <c r="CR4" s="1">
        <v>70.849999999999994</v>
      </c>
      <c r="CS4" s="1">
        <v>55</v>
      </c>
      <c r="CT4" s="1">
        <v>49</v>
      </c>
      <c r="CU4" s="1">
        <v>55</v>
      </c>
      <c r="CV4" s="1">
        <v>53</v>
      </c>
      <c r="CW4" s="1">
        <v>54</v>
      </c>
      <c r="CX4" s="1">
        <v>57</v>
      </c>
      <c r="CY4" s="1">
        <v>44</v>
      </c>
      <c r="CZ4" s="1">
        <v>53</v>
      </c>
      <c r="DA4" s="1">
        <v>0</v>
      </c>
    </row>
    <row r="5" spans="1:105" x14ac:dyDescent="0.15">
      <c r="A5" s="1" t="s">
        <v>188</v>
      </c>
      <c r="B5" s="1" t="s">
        <v>43</v>
      </c>
      <c r="C5" s="1">
        <v>1</v>
      </c>
      <c r="D5" s="1">
        <v>13</v>
      </c>
      <c r="E5" s="1">
        <v>43</v>
      </c>
      <c r="F5" s="1">
        <v>117</v>
      </c>
      <c r="G5" s="1">
        <v>105</v>
      </c>
      <c r="H5" s="1">
        <v>12</v>
      </c>
      <c r="I5" s="1">
        <v>58</v>
      </c>
      <c r="J5" s="1">
        <v>52</v>
      </c>
      <c r="K5" s="1">
        <v>38</v>
      </c>
      <c r="L5" s="1">
        <v>55</v>
      </c>
      <c r="M5" s="1">
        <v>107</v>
      </c>
      <c r="N5" s="1">
        <v>106</v>
      </c>
      <c r="O5" s="1">
        <v>62</v>
      </c>
      <c r="P5" s="1">
        <v>62</v>
      </c>
      <c r="Q5" s="1">
        <v>31</v>
      </c>
      <c r="R5" s="1">
        <v>61</v>
      </c>
      <c r="S5" s="1">
        <v>123</v>
      </c>
      <c r="T5" s="1">
        <v>119</v>
      </c>
      <c r="U5" s="1">
        <v>230</v>
      </c>
      <c r="V5" s="1">
        <v>113</v>
      </c>
      <c r="W5" s="1">
        <v>120</v>
      </c>
      <c r="X5" s="1">
        <v>48</v>
      </c>
      <c r="Y5" s="1">
        <v>2</v>
      </c>
      <c r="Z5" s="1">
        <v>46</v>
      </c>
      <c r="AA5" s="1">
        <v>15</v>
      </c>
      <c r="AB5" s="1">
        <v>120</v>
      </c>
      <c r="AC5" s="1">
        <v>105</v>
      </c>
      <c r="AD5" s="1">
        <v>17</v>
      </c>
      <c r="AE5" s="1">
        <v>32</v>
      </c>
      <c r="AF5" s="1">
        <v>132</v>
      </c>
      <c r="AG5" s="1">
        <v>16</v>
      </c>
      <c r="AH5" s="1">
        <v>60</v>
      </c>
      <c r="AI5" s="1">
        <v>75</v>
      </c>
      <c r="AJ5" s="1">
        <v>62</v>
      </c>
      <c r="AK5" s="1">
        <v>8</v>
      </c>
      <c r="AL5" s="1">
        <v>8</v>
      </c>
      <c r="AM5" s="1">
        <v>10</v>
      </c>
      <c r="AN5" s="1">
        <v>26</v>
      </c>
      <c r="AO5" s="1">
        <v>44</v>
      </c>
      <c r="AP5" s="1">
        <v>9</v>
      </c>
      <c r="AQ5" s="1">
        <v>40</v>
      </c>
      <c r="AR5" s="1">
        <v>9</v>
      </c>
      <c r="AS5" s="1">
        <v>36</v>
      </c>
      <c r="AT5" s="1">
        <v>23</v>
      </c>
      <c r="AU5" s="1">
        <v>65</v>
      </c>
      <c r="AV5" s="1">
        <v>20</v>
      </c>
      <c r="AW5" s="1">
        <v>59</v>
      </c>
      <c r="AX5" s="1">
        <v>8888</v>
      </c>
      <c r="AY5" s="1">
        <v>8888</v>
      </c>
      <c r="AZ5" s="1">
        <v>6</v>
      </c>
      <c r="BA5" s="1">
        <v>9</v>
      </c>
      <c r="BB5" s="1">
        <v>9</v>
      </c>
      <c r="BC5" s="1">
        <v>24</v>
      </c>
      <c r="BD5" s="1">
        <v>40</v>
      </c>
      <c r="BE5" s="1">
        <v>9</v>
      </c>
      <c r="BF5" s="1">
        <v>38</v>
      </c>
      <c r="BG5" s="1">
        <v>18</v>
      </c>
      <c r="BH5" s="1">
        <v>13</v>
      </c>
      <c r="BI5" s="1">
        <v>24</v>
      </c>
      <c r="BJ5" s="1">
        <v>55</v>
      </c>
      <c r="BK5" s="1">
        <v>51</v>
      </c>
      <c r="BL5" s="1">
        <v>24</v>
      </c>
      <c r="BM5" s="1">
        <v>49</v>
      </c>
      <c r="BN5" s="1">
        <v>99</v>
      </c>
      <c r="BO5" s="1">
        <v>55</v>
      </c>
      <c r="BP5" s="1">
        <v>3.96</v>
      </c>
      <c r="BQ5" s="1">
        <v>3</v>
      </c>
      <c r="BR5" s="1">
        <v>4.24</v>
      </c>
      <c r="BS5" s="1">
        <v>3.73</v>
      </c>
      <c r="BT5" s="1">
        <v>58</v>
      </c>
      <c r="BU5" s="1">
        <v>15</v>
      </c>
      <c r="BV5" s="1">
        <v>86.05</v>
      </c>
      <c r="BW5" s="1">
        <v>6</v>
      </c>
      <c r="BX5" s="1">
        <v>39.32</v>
      </c>
      <c r="BY5" s="1">
        <v>506.39</v>
      </c>
      <c r="BZ5" s="1">
        <v>67.650000000000006</v>
      </c>
      <c r="CA5" s="1">
        <v>9.5399999999999991</v>
      </c>
      <c r="CB5" s="1">
        <v>67.67</v>
      </c>
      <c r="CC5" s="1">
        <v>11.4</v>
      </c>
      <c r="CD5" s="1">
        <v>58.87</v>
      </c>
      <c r="CE5" s="1">
        <v>0.92</v>
      </c>
      <c r="CF5" s="1">
        <v>44.16</v>
      </c>
      <c r="CG5" s="1">
        <v>3.93</v>
      </c>
      <c r="CH5" s="1">
        <v>84.78</v>
      </c>
      <c r="CI5" s="1">
        <v>0</v>
      </c>
      <c r="CJ5" s="1">
        <v>44.54</v>
      </c>
      <c r="CK5" s="1">
        <v>-0.02</v>
      </c>
      <c r="CL5" s="1">
        <v>40.619999999999997</v>
      </c>
      <c r="CM5" s="1">
        <v>-7.0000000000000007E-2</v>
      </c>
      <c r="CN5" s="1">
        <v>40.76</v>
      </c>
      <c r="CO5" s="1">
        <v>0.05</v>
      </c>
      <c r="CP5" s="1">
        <v>49.06</v>
      </c>
      <c r="CQ5" s="1">
        <v>0.09</v>
      </c>
      <c r="CR5" s="1">
        <v>56.92</v>
      </c>
      <c r="CS5" s="1">
        <v>60</v>
      </c>
      <c r="CT5" s="1">
        <v>58</v>
      </c>
      <c r="CU5" s="1">
        <v>64</v>
      </c>
      <c r="CV5" s="1">
        <v>44</v>
      </c>
      <c r="CW5" s="1">
        <v>40</v>
      </c>
      <c r="CX5" s="1">
        <v>8888</v>
      </c>
      <c r="CY5" s="1">
        <v>55</v>
      </c>
      <c r="CZ5" s="1">
        <v>8888</v>
      </c>
      <c r="DA5" s="1">
        <v>0</v>
      </c>
    </row>
    <row r="6" spans="1:105" x14ac:dyDescent="0.15">
      <c r="A6" s="1" t="s">
        <v>186</v>
      </c>
      <c r="B6" s="1" t="s">
        <v>418</v>
      </c>
      <c r="C6" s="1">
        <v>1</v>
      </c>
      <c r="D6" s="1">
        <v>13</v>
      </c>
      <c r="E6" s="1">
        <v>41</v>
      </c>
      <c r="F6" s="1">
        <v>113</v>
      </c>
      <c r="G6" s="1">
        <v>105</v>
      </c>
      <c r="H6" s="1">
        <v>8</v>
      </c>
      <c r="I6" s="1">
        <v>62</v>
      </c>
      <c r="J6" s="1">
        <v>55</v>
      </c>
      <c r="K6" s="1">
        <v>36</v>
      </c>
      <c r="L6" s="1">
        <v>51</v>
      </c>
      <c r="M6" s="1">
        <v>106</v>
      </c>
      <c r="N6" s="1">
        <v>105</v>
      </c>
      <c r="O6" s="1">
        <v>66</v>
      </c>
      <c r="P6" s="1">
        <v>66</v>
      </c>
      <c r="Q6" s="1">
        <v>25</v>
      </c>
      <c r="R6" s="1">
        <v>50</v>
      </c>
      <c r="S6" s="1">
        <v>116</v>
      </c>
      <c r="T6" s="1">
        <v>112</v>
      </c>
      <c r="U6" s="1">
        <v>222</v>
      </c>
      <c r="V6" s="1">
        <v>109</v>
      </c>
      <c r="W6" s="1">
        <v>120</v>
      </c>
      <c r="X6" s="1">
        <v>43</v>
      </c>
      <c r="Y6" s="1">
        <v>0</v>
      </c>
      <c r="Z6" s="1">
        <v>43</v>
      </c>
      <c r="AA6" s="1">
        <v>13</v>
      </c>
      <c r="AB6" s="1">
        <v>120</v>
      </c>
      <c r="AC6" s="1">
        <v>77</v>
      </c>
      <c r="AD6" s="1">
        <v>11</v>
      </c>
      <c r="AE6" s="1">
        <v>24</v>
      </c>
      <c r="AF6" s="1">
        <v>111</v>
      </c>
      <c r="AG6" s="1">
        <v>17</v>
      </c>
      <c r="AH6" s="1">
        <v>59</v>
      </c>
      <c r="AI6" s="1">
        <v>76</v>
      </c>
      <c r="AJ6" s="1">
        <v>65</v>
      </c>
      <c r="AK6" s="1">
        <v>7</v>
      </c>
      <c r="AL6" s="1">
        <v>8</v>
      </c>
      <c r="AM6" s="1">
        <v>7</v>
      </c>
      <c r="AN6" s="1">
        <v>22</v>
      </c>
      <c r="AO6" s="1">
        <v>37</v>
      </c>
      <c r="AP6" s="1">
        <v>6</v>
      </c>
      <c r="AQ6" s="1">
        <v>21</v>
      </c>
      <c r="AR6" s="1">
        <v>10</v>
      </c>
      <c r="AS6" s="1">
        <v>44</v>
      </c>
      <c r="AT6" s="1">
        <v>18</v>
      </c>
      <c r="AU6" s="1">
        <v>49</v>
      </c>
      <c r="AV6" s="1">
        <v>22</v>
      </c>
      <c r="AW6" s="1">
        <v>65</v>
      </c>
      <c r="AX6" s="1">
        <v>25</v>
      </c>
      <c r="AY6" s="1">
        <v>55</v>
      </c>
      <c r="AZ6" s="1">
        <v>3</v>
      </c>
      <c r="BA6" s="1">
        <v>5</v>
      </c>
      <c r="BB6" s="1">
        <v>9</v>
      </c>
      <c r="BC6" s="1">
        <v>17</v>
      </c>
      <c r="BD6" s="1">
        <v>29</v>
      </c>
      <c r="BE6" s="1">
        <v>8</v>
      </c>
      <c r="BF6" s="1">
        <v>34</v>
      </c>
      <c r="BG6" s="1">
        <v>9</v>
      </c>
      <c r="BH6" s="1">
        <v>8</v>
      </c>
      <c r="BI6" s="1">
        <v>11</v>
      </c>
      <c r="BJ6" s="1">
        <v>28</v>
      </c>
      <c r="BK6" s="1">
        <v>30</v>
      </c>
      <c r="BL6" s="1">
        <v>28</v>
      </c>
      <c r="BM6" s="1">
        <v>57</v>
      </c>
      <c r="BN6" s="1">
        <v>110</v>
      </c>
      <c r="BO6" s="1">
        <v>67</v>
      </c>
      <c r="BP6" s="1">
        <v>9999</v>
      </c>
      <c r="BQ6" s="1">
        <v>9999</v>
      </c>
      <c r="BR6" s="1">
        <v>9999</v>
      </c>
      <c r="BS6" s="1">
        <v>9999</v>
      </c>
      <c r="BT6" s="1">
        <v>9999</v>
      </c>
      <c r="BU6" s="1">
        <v>10</v>
      </c>
      <c r="BV6" s="1">
        <v>70.98</v>
      </c>
      <c r="BW6" s="1">
        <v>15</v>
      </c>
      <c r="BX6" s="1">
        <v>50.88</v>
      </c>
      <c r="BY6" s="1">
        <v>283.49</v>
      </c>
      <c r="BZ6" s="1">
        <v>32.409999999999997</v>
      </c>
      <c r="CA6" s="1">
        <v>2.99</v>
      </c>
      <c r="CB6" s="1">
        <v>33.03</v>
      </c>
      <c r="CC6" s="1">
        <v>4.2</v>
      </c>
      <c r="CD6" s="1">
        <v>40.590000000000003</v>
      </c>
      <c r="CE6" s="1">
        <v>0.78</v>
      </c>
      <c r="CF6" s="1">
        <v>47.26</v>
      </c>
      <c r="CG6" s="1">
        <v>0.58000000000000007</v>
      </c>
      <c r="CH6" s="1">
        <v>48.16</v>
      </c>
      <c r="CI6" s="1">
        <v>0</v>
      </c>
      <c r="CJ6" s="1">
        <v>44.54</v>
      </c>
      <c r="CK6" s="1">
        <v>-0.03</v>
      </c>
      <c r="CL6" s="1">
        <v>38.18</v>
      </c>
      <c r="CM6" s="1">
        <v>-0.04</v>
      </c>
      <c r="CN6" s="1">
        <v>44.28</v>
      </c>
      <c r="CO6" s="1">
        <v>0.01</v>
      </c>
      <c r="CP6" s="1">
        <v>38.43</v>
      </c>
      <c r="CQ6" s="1">
        <v>-0.12</v>
      </c>
      <c r="CR6" s="1">
        <v>37.799999999999997</v>
      </c>
      <c r="CS6" s="1">
        <v>64</v>
      </c>
      <c r="CT6" s="1">
        <v>9999</v>
      </c>
      <c r="CU6" s="1">
        <v>59</v>
      </c>
      <c r="CV6" s="1">
        <v>37</v>
      </c>
      <c r="CW6" s="1">
        <v>29</v>
      </c>
      <c r="CX6" s="1">
        <v>55</v>
      </c>
      <c r="CY6" s="1">
        <v>67</v>
      </c>
      <c r="CZ6" s="1">
        <v>9999</v>
      </c>
      <c r="DA6" s="1">
        <v>0</v>
      </c>
    </row>
    <row r="7" spans="1:105" x14ac:dyDescent="0.15">
      <c r="A7" s="1" t="s">
        <v>183</v>
      </c>
      <c r="B7" s="1" t="s">
        <v>418</v>
      </c>
      <c r="C7" s="1">
        <v>1</v>
      </c>
      <c r="D7" s="1">
        <v>16</v>
      </c>
      <c r="E7" s="1">
        <v>49</v>
      </c>
      <c r="F7" s="1">
        <v>125</v>
      </c>
      <c r="G7" s="1">
        <v>111</v>
      </c>
      <c r="H7" s="1">
        <v>14</v>
      </c>
      <c r="I7" s="1">
        <v>65</v>
      </c>
      <c r="J7" s="1">
        <v>58</v>
      </c>
      <c r="K7" s="1">
        <v>41</v>
      </c>
      <c r="L7" s="1">
        <v>61</v>
      </c>
      <c r="M7" s="1">
        <v>119</v>
      </c>
      <c r="N7" s="1">
        <v>115</v>
      </c>
      <c r="O7" s="1">
        <v>64</v>
      </c>
      <c r="P7" s="1">
        <v>70</v>
      </c>
      <c r="Q7" s="1">
        <v>32</v>
      </c>
      <c r="R7" s="1">
        <v>72</v>
      </c>
      <c r="S7" s="1">
        <v>142</v>
      </c>
      <c r="T7" s="1">
        <v>139</v>
      </c>
      <c r="U7" s="1">
        <v>261</v>
      </c>
      <c r="V7" s="1">
        <v>130</v>
      </c>
      <c r="W7" s="1">
        <v>120</v>
      </c>
      <c r="X7" s="1">
        <v>22</v>
      </c>
      <c r="Y7" s="1">
        <v>0</v>
      </c>
      <c r="Z7" s="1">
        <v>22</v>
      </c>
      <c r="AA7" s="1">
        <v>7</v>
      </c>
      <c r="AB7" s="1">
        <v>120</v>
      </c>
      <c r="AC7" s="1">
        <v>45</v>
      </c>
      <c r="AD7" s="1">
        <v>7</v>
      </c>
      <c r="AE7" s="1">
        <v>14</v>
      </c>
      <c r="AF7" s="1">
        <v>84</v>
      </c>
      <c r="AG7" s="1">
        <v>23</v>
      </c>
      <c r="AH7" s="1">
        <v>59</v>
      </c>
      <c r="AI7" s="1">
        <v>50</v>
      </c>
      <c r="AJ7" s="1">
        <v>53</v>
      </c>
      <c r="AK7" s="1">
        <v>4</v>
      </c>
      <c r="AL7" s="1">
        <v>8</v>
      </c>
      <c r="AM7" s="1">
        <v>10</v>
      </c>
      <c r="AN7" s="1">
        <v>22</v>
      </c>
      <c r="AO7" s="1">
        <v>40</v>
      </c>
      <c r="AP7" s="1">
        <v>8</v>
      </c>
      <c r="AQ7" s="1">
        <v>40</v>
      </c>
      <c r="AR7" s="1">
        <v>8</v>
      </c>
      <c r="AS7" s="1">
        <v>28</v>
      </c>
      <c r="AT7" s="1">
        <v>21</v>
      </c>
      <c r="AU7" s="1">
        <v>68</v>
      </c>
      <c r="AV7" s="1">
        <v>19</v>
      </c>
      <c r="AW7" s="1">
        <v>60</v>
      </c>
      <c r="AX7" s="1">
        <v>22</v>
      </c>
      <c r="AY7" s="1">
        <v>61</v>
      </c>
      <c r="AZ7" s="1">
        <v>7</v>
      </c>
      <c r="BA7" s="1">
        <v>9</v>
      </c>
      <c r="BB7" s="1">
        <v>11</v>
      </c>
      <c r="BC7" s="1">
        <v>27</v>
      </c>
      <c r="BD7" s="1">
        <v>63</v>
      </c>
      <c r="BE7" s="1">
        <v>10</v>
      </c>
      <c r="BF7" s="1">
        <v>57</v>
      </c>
      <c r="BG7" s="1">
        <v>16</v>
      </c>
      <c r="BH7" s="1">
        <v>19</v>
      </c>
      <c r="BI7" s="1">
        <v>21</v>
      </c>
      <c r="BJ7" s="1">
        <v>56</v>
      </c>
      <c r="BK7" s="1">
        <v>53</v>
      </c>
      <c r="BL7" s="1">
        <v>26</v>
      </c>
      <c r="BM7" s="1">
        <v>56</v>
      </c>
      <c r="BN7" s="1">
        <v>95</v>
      </c>
      <c r="BO7" s="1">
        <v>45</v>
      </c>
      <c r="BP7" s="1">
        <v>9999</v>
      </c>
      <c r="BQ7" s="1">
        <v>9999</v>
      </c>
      <c r="BR7" s="1">
        <v>9999</v>
      </c>
      <c r="BS7" s="1">
        <v>9999</v>
      </c>
      <c r="BT7" s="1">
        <v>9999</v>
      </c>
      <c r="BU7" s="1">
        <v>2</v>
      </c>
      <c r="BV7" s="1">
        <v>46.05</v>
      </c>
      <c r="BW7" s="1">
        <v>11</v>
      </c>
      <c r="BX7" s="1">
        <v>47.44</v>
      </c>
      <c r="BY7" s="1">
        <v>399.56</v>
      </c>
      <c r="BZ7" s="1">
        <v>46.28</v>
      </c>
      <c r="CA7" s="1">
        <v>5.68</v>
      </c>
      <c r="CB7" s="1">
        <v>50.72</v>
      </c>
      <c r="CC7" s="1">
        <v>6.2</v>
      </c>
      <c r="CD7" s="1">
        <v>43.7</v>
      </c>
      <c r="CE7" s="1">
        <v>0.56000000000000016</v>
      </c>
      <c r="CF7" s="1">
        <v>51.14</v>
      </c>
      <c r="CG7" s="1">
        <v>0.83</v>
      </c>
      <c r="CH7" s="1">
        <v>53.74</v>
      </c>
      <c r="CI7" s="1">
        <v>0</v>
      </c>
      <c r="CJ7" s="1">
        <v>42.49</v>
      </c>
      <c r="CK7" s="1">
        <v>-0.04</v>
      </c>
      <c r="CL7" s="1">
        <v>39.07</v>
      </c>
      <c r="CM7" s="1">
        <v>-7.0000000000000007E-2</v>
      </c>
      <c r="CN7" s="1">
        <v>45.16</v>
      </c>
      <c r="CO7" s="1">
        <v>0.04</v>
      </c>
      <c r="CP7" s="1">
        <v>52.9</v>
      </c>
      <c r="CQ7" s="1">
        <v>-0.06</v>
      </c>
      <c r="CR7" s="1">
        <v>52.04</v>
      </c>
      <c r="CS7" s="1">
        <v>58</v>
      </c>
      <c r="CT7" s="1">
        <v>9999</v>
      </c>
      <c r="CU7" s="1">
        <v>67</v>
      </c>
      <c r="CV7" s="1">
        <v>40</v>
      </c>
      <c r="CW7" s="1">
        <v>63</v>
      </c>
      <c r="CX7" s="1">
        <v>61</v>
      </c>
      <c r="CY7" s="1">
        <v>45</v>
      </c>
      <c r="CZ7" s="1">
        <v>9999</v>
      </c>
      <c r="DA7" s="1">
        <v>0</v>
      </c>
    </row>
    <row r="8" spans="1:105" x14ac:dyDescent="0.15">
      <c r="A8" s="1" t="s">
        <v>178</v>
      </c>
      <c r="B8" s="1" t="s">
        <v>194</v>
      </c>
      <c r="C8" s="1">
        <v>1</v>
      </c>
      <c r="D8" s="1">
        <v>16</v>
      </c>
      <c r="E8" s="1">
        <v>48</v>
      </c>
      <c r="F8" s="1">
        <v>124</v>
      </c>
      <c r="G8" s="1">
        <v>111</v>
      </c>
      <c r="H8" s="1">
        <v>13</v>
      </c>
      <c r="I8" s="1">
        <v>65</v>
      </c>
      <c r="J8" s="1">
        <v>59</v>
      </c>
      <c r="K8" s="1">
        <v>40</v>
      </c>
      <c r="L8" s="1">
        <v>58</v>
      </c>
      <c r="M8" s="1">
        <v>117</v>
      </c>
      <c r="N8" s="1">
        <v>113</v>
      </c>
      <c r="O8" s="1">
        <v>67</v>
      </c>
      <c r="P8" s="1">
        <v>66</v>
      </c>
      <c r="Q8" s="1">
        <v>34</v>
      </c>
      <c r="R8" s="1">
        <v>68</v>
      </c>
      <c r="S8" s="1">
        <v>134</v>
      </c>
      <c r="T8" s="1">
        <v>131</v>
      </c>
      <c r="U8" s="1">
        <v>251</v>
      </c>
      <c r="V8" s="1">
        <v>125</v>
      </c>
      <c r="W8" s="1">
        <v>120</v>
      </c>
      <c r="X8" s="1">
        <v>29</v>
      </c>
      <c r="Y8" s="1">
        <v>2</v>
      </c>
      <c r="Z8" s="1">
        <v>27</v>
      </c>
      <c r="AA8" s="1">
        <v>8</v>
      </c>
      <c r="AB8" s="1">
        <v>120</v>
      </c>
      <c r="AC8" s="1">
        <v>73</v>
      </c>
      <c r="AD8" s="1">
        <v>10</v>
      </c>
      <c r="AE8" s="1">
        <v>18</v>
      </c>
      <c r="AF8" s="1">
        <v>94</v>
      </c>
      <c r="AG8" s="1">
        <v>26</v>
      </c>
      <c r="AH8" s="1">
        <v>46</v>
      </c>
      <c r="AI8" s="1">
        <v>73</v>
      </c>
      <c r="AJ8" s="1">
        <v>62</v>
      </c>
      <c r="AK8" s="1">
        <v>8</v>
      </c>
      <c r="AL8" s="1">
        <v>12</v>
      </c>
      <c r="AM8" s="1">
        <v>11</v>
      </c>
      <c r="AN8" s="1">
        <v>31</v>
      </c>
      <c r="AO8" s="1">
        <v>56</v>
      </c>
      <c r="AP8" s="1">
        <v>9</v>
      </c>
      <c r="AQ8" s="1">
        <v>40</v>
      </c>
      <c r="AR8" s="1">
        <v>12</v>
      </c>
      <c r="AS8" s="1">
        <v>58</v>
      </c>
      <c r="AT8" s="1">
        <v>20</v>
      </c>
      <c r="AU8" s="1">
        <v>56</v>
      </c>
      <c r="AV8" s="1">
        <v>15</v>
      </c>
      <c r="AW8" s="1">
        <v>44</v>
      </c>
      <c r="AX8" s="1">
        <v>20</v>
      </c>
      <c r="AY8" s="1">
        <v>42</v>
      </c>
      <c r="AZ8" s="1">
        <v>7</v>
      </c>
      <c r="BA8" s="1">
        <v>11</v>
      </c>
      <c r="BB8" s="1">
        <v>11</v>
      </c>
      <c r="BC8" s="1">
        <v>29</v>
      </c>
      <c r="BD8" s="1">
        <v>51</v>
      </c>
      <c r="BE8" s="1">
        <v>11</v>
      </c>
      <c r="BF8" s="1">
        <v>54</v>
      </c>
      <c r="BG8" s="1">
        <v>19</v>
      </c>
      <c r="BH8" s="1">
        <v>13</v>
      </c>
      <c r="BI8" s="1">
        <v>19</v>
      </c>
      <c r="BJ8" s="1">
        <v>51</v>
      </c>
      <c r="BK8" s="1">
        <v>43</v>
      </c>
      <c r="BL8" s="1">
        <v>28</v>
      </c>
      <c r="BM8" s="1">
        <v>57</v>
      </c>
      <c r="BN8" s="1">
        <v>104</v>
      </c>
      <c r="BO8" s="1">
        <v>60</v>
      </c>
      <c r="BP8" s="1">
        <v>3.4</v>
      </c>
      <c r="BQ8" s="1">
        <v>3</v>
      </c>
      <c r="BR8" s="1">
        <v>2.0099999999999998</v>
      </c>
      <c r="BS8" s="1">
        <v>2.8</v>
      </c>
      <c r="BT8" s="1">
        <v>45</v>
      </c>
      <c r="BU8" s="1">
        <v>1</v>
      </c>
      <c r="BV8" s="1">
        <v>43.87</v>
      </c>
      <c r="BW8" s="1">
        <v>4</v>
      </c>
      <c r="BX8" s="1">
        <v>36.75</v>
      </c>
      <c r="BY8" s="1">
        <v>381.05</v>
      </c>
      <c r="BZ8" s="1">
        <v>50.37</v>
      </c>
      <c r="CA8" s="1">
        <v>5.6</v>
      </c>
      <c r="CB8" s="1">
        <v>51.72</v>
      </c>
      <c r="CC8" s="1">
        <v>6.78</v>
      </c>
      <c r="CD8" s="1">
        <v>49.35</v>
      </c>
      <c r="CE8" s="1">
        <v>1.19</v>
      </c>
      <c r="CF8" s="1">
        <v>38.450000000000003</v>
      </c>
      <c r="CG8" s="1">
        <v>0.93</v>
      </c>
      <c r="CH8" s="1">
        <v>51.96</v>
      </c>
      <c r="CI8" s="1">
        <v>0</v>
      </c>
      <c r="CJ8" s="1">
        <v>44.54</v>
      </c>
      <c r="CK8" s="1">
        <v>-0.03</v>
      </c>
      <c r="CL8" s="1">
        <v>37.35</v>
      </c>
      <c r="CM8" s="1">
        <v>-0.03</v>
      </c>
      <c r="CN8" s="1">
        <v>45.62</v>
      </c>
      <c r="CO8" s="1">
        <v>0.05</v>
      </c>
      <c r="CP8" s="1">
        <v>50.06</v>
      </c>
      <c r="CQ8" s="1">
        <v>0.06</v>
      </c>
      <c r="CR8" s="1">
        <v>53.91</v>
      </c>
      <c r="CS8" s="1">
        <v>57</v>
      </c>
      <c r="CT8" s="1">
        <v>45</v>
      </c>
      <c r="CU8" s="1">
        <v>50</v>
      </c>
      <c r="CV8" s="1">
        <v>56</v>
      </c>
      <c r="CW8" s="1">
        <v>51</v>
      </c>
      <c r="CX8" s="1">
        <v>42</v>
      </c>
      <c r="CY8" s="1">
        <v>60</v>
      </c>
      <c r="CZ8" s="1">
        <v>52</v>
      </c>
      <c r="DA8" s="1">
        <v>0</v>
      </c>
    </row>
    <row r="9" spans="1:105" x14ac:dyDescent="0.15">
      <c r="A9" s="1" t="s">
        <v>191</v>
      </c>
      <c r="B9" s="1" t="s">
        <v>419</v>
      </c>
      <c r="C9" s="1">
        <v>2</v>
      </c>
      <c r="D9" s="1">
        <v>13</v>
      </c>
      <c r="E9" s="1">
        <v>38</v>
      </c>
      <c r="F9" s="1">
        <v>108</v>
      </c>
      <c r="G9" s="1">
        <v>91</v>
      </c>
      <c r="H9" s="1">
        <v>17</v>
      </c>
      <c r="I9" s="1">
        <v>65</v>
      </c>
      <c r="J9" s="1">
        <v>62</v>
      </c>
      <c r="K9" s="1">
        <v>34</v>
      </c>
      <c r="L9" s="1">
        <v>48</v>
      </c>
      <c r="M9" s="1">
        <v>110</v>
      </c>
      <c r="N9" s="1">
        <v>108</v>
      </c>
      <c r="O9" s="1">
        <v>31</v>
      </c>
      <c r="P9" s="1">
        <v>42</v>
      </c>
      <c r="Q9" s="1">
        <v>29</v>
      </c>
      <c r="R9" s="1">
        <v>57</v>
      </c>
      <c r="S9" s="1">
        <v>99</v>
      </c>
      <c r="T9" s="1">
        <v>99</v>
      </c>
      <c r="U9" s="1">
        <v>209</v>
      </c>
      <c r="V9" s="1">
        <v>104</v>
      </c>
      <c r="W9" s="1">
        <v>120</v>
      </c>
      <c r="X9" s="1">
        <v>31</v>
      </c>
      <c r="Y9" s="1">
        <v>0</v>
      </c>
      <c r="Z9" s="1">
        <v>31</v>
      </c>
      <c r="AA9" s="1">
        <v>9</v>
      </c>
      <c r="AB9" s="1">
        <v>120</v>
      </c>
      <c r="AC9" s="1">
        <v>76</v>
      </c>
      <c r="AD9" s="1">
        <v>11</v>
      </c>
      <c r="AE9" s="1">
        <v>20</v>
      </c>
      <c r="AF9" s="1">
        <v>100</v>
      </c>
      <c r="AG9" s="1">
        <v>34</v>
      </c>
      <c r="AH9" s="1">
        <v>37</v>
      </c>
      <c r="AI9" s="1">
        <v>57</v>
      </c>
      <c r="AJ9" s="1">
        <v>41</v>
      </c>
      <c r="AK9" s="1">
        <v>6</v>
      </c>
      <c r="AL9" s="1">
        <v>7</v>
      </c>
      <c r="AM9" s="1">
        <v>9</v>
      </c>
      <c r="AN9" s="1">
        <v>22</v>
      </c>
      <c r="AO9" s="1">
        <v>35</v>
      </c>
      <c r="AP9" s="1">
        <v>8</v>
      </c>
      <c r="AQ9" s="1">
        <v>34</v>
      </c>
      <c r="AR9" s="1">
        <v>12</v>
      </c>
      <c r="AS9" s="1">
        <v>58</v>
      </c>
      <c r="AT9" s="1">
        <v>15</v>
      </c>
      <c r="AU9" s="1">
        <v>43</v>
      </c>
      <c r="AV9" s="1">
        <v>14</v>
      </c>
      <c r="AW9" s="1">
        <v>44</v>
      </c>
      <c r="AX9" s="1">
        <v>19</v>
      </c>
      <c r="AY9" s="1">
        <v>42</v>
      </c>
      <c r="AZ9" s="1">
        <v>4</v>
      </c>
      <c r="BA9" s="1">
        <v>10</v>
      </c>
      <c r="BB9" s="1">
        <v>11</v>
      </c>
      <c r="BC9" s="1">
        <v>25</v>
      </c>
      <c r="BD9" s="1">
        <v>42</v>
      </c>
      <c r="BE9" s="1">
        <v>11</v>
      </c>
      <c r="BF9" s="1">
        <v>53</v>
      </c>
      <c r="BG9" s="1">
        <v>13</v>
      </c>
      <c r="BH9" s="1">
        <v>11</v>
      </c>
      <c r="BI9" s="1">
        <v>17</v>
      </c>
      <c r="BJ9" s="1">
        <v>41</v>
      </c>
      <c r="BK9" s="1">
        <v>39</v>
      </c>
      <c r="BL9" s="1">
        <v>23</v>
      </c>
      <c r="BM9" s="1">
        <v>48</v>
      </c>
      <c r="BN9" s="1">
        <v>104</v>
      </c>
      <c r="BO9" s="1">
        <v>59</v>
      </c>
      <c r="BP9" s="1">
        <v>9999</v>
      </c>
      <c r="BQ9" s="1">
        <v>9999</v>
      </c>
      <c r="BR9" s="1">
        <v>9999</v>
      </c>
      <c r="BS9" s="1">
        <v>9999</v>
      </c>
      <c r="BT9" s="1">
        <v>9999</v>
      </c>
      <c r="BU9" s="1">
        <v>0</v>
      </c>
      <c r="BV9" s="1">
        <v>44.87</v>
      </c>
      <c r="BW9" s="1">
        <v>3</v>
      </c>
      <c r="BX9" s="1">
        <v>38.11</v>
      </c>
      <c r="BY9" s="1">
        <v>429.84</v>
      </c>
      <c r="BZ9" s="1">
        <v>55.96</v>
      </c>
      <c r="CA9" s="1">
        <v>5.16</v>
      </c>
      <c r="CB9" s="1">
        <v>49.49</v>
      </c>
      <c r="CC9" s="1">
        <v>7.24</v>
      </c>
      <c r="CD9" s="1">
        <v>51.21</v>
      </c>
      <c r="CE9" s="1">
        <v>1.34</v>
      </c>
      <c r="CF9" s="1">
        <v>39.770000000000003</v>
      </c>
      <c r="CG9" s="1">
        <v>0.72</v>
      </c>
      <c r="CH9" s="1">
        <v>49.18</v>
      </c>
      <c r="CI9" s="1">
        <v>0</v>
      </c>
      <c r="CJ9" s="1">
        <v>46.79</v>
      </c>
      <c r="CK9" s="1">
        <v>0.02</v>
      </c>
      <c r="CL9" s="1">
        <v>55.98</v>
      </c>
      <c r="CM9" s="1">
        <v>0.02</v>
      </c>
      <c r="CN9" s="1">
        <v>54.47</v>
      </c>
      <c r="CO9" s="1">
        <v>0.03</v>
      </c>
      <c r="CP9" s="1">
        <v>40.24</v>
      </c>
      <c r="CQ9" s="1">
        <v>-0.06</v>
      </c>
      <c r="CR9" s="1">
        <v>42.35</v>
      </c>
      <c r="CS9" s="1">
        <v>40</v>
      </c>
      <c r="CT9" s="1">
        <v>9999</v>
      </c>
      <c r="CU9" s="1">
        <v>42</v>
      </c>
      <c r="CV9" s="1">
        <v>35</v>
      </c>
      <c r="CW9" s="1">
        <v>42</v>
      </c>
      <c r="CX9" s="1">
        <v>42</v>
      </c>
      <c r="CY9" s="1">
        <v>59</v>
      </c>
      <c r="CZ9" s="1">
        <v>9999</v>
      </c>
      <c r="DA9" s="1">
        <v>0</v>
      </c>
    </row>
    <row r="10" spans="1:105" x14ac:dyDescent="0.15">
      <c r="A10" s="1" t="s">
        <v>185</v>
      </c>
      <c r="B10" s="1" t="s">
        <v>49</v>
      </c>
      <c r="C10" s="1">
        <v>1</v>
      </c>
      <c r="D10" s="1">
        <v>17</v>
      </c>
      <c r="E10" s="1">
        <v>44</v>
      </c>
      <c r="F10" s="1">
        <v>118</v>
      </c>
      <c r="G10" s="1">
        <v>116</v>
      </c>
      <c r="H10" s="1">
        <v>2</v>
      </c>
      <c r="I10" s="1">
        <v>57</v>
      </c>
      <c r="J10" s="1">
        <v>51</v>
      </c>
      <c r="K10" s="1">
        <v>38</v>
      </c>
      <c r="L10" s="1">
        <v>55</v>
      </c>
      <c r="M10" s="1">
        <v>106</v>
      </c>
      <c r="N10" s="1">
        <v>105</v>
      </c>
      <c r="O10" s="1">
        <v>67</v>
      </c>
      <c r="P10" s="1">
        <v>65</v>
      </c>
      <c r="Q10" s="1">
        <v>31</v>
      </c>
      <c r="R10" s="1">
        <v>61</v>
      </c>
      <c r="S10" s="1">
        <v>126</v>
      </c>
      <c r="T10" s="1">
        <v>123</v>
      </c>
      <c r="U10" s="1">
        <v>232</v>
      </c>
      <c r="V10" s="1">
        <v>114</v>
      </c>
      <c r="W10" s="1">
        <v>120</v>
      </c>
      <c r="X10" s="1">
        <v>38</v>
      </c>
      <c r="Y10" s="1">
        <v>2</v>
      </c>
      <c r="Z10" s="1">
        <v>36</v>
      </c>
      <c r="AA10" s="1">
        <v>11</v>
      </c>
      <c r="AB10" s="1">
        <v>120</v>
      </c>
      <c r="AC10" s="1">
        <v>81</v>
      </c>
      <c r="AD10" s="1">
        <v>12</v>
      </c>
      <c r="AE10" s="1">
        <v>23</v>
      </c>
      <c r="AF10" s="1">
        <v>108</v>
      </c>
      <c r="AG10" s="1">
        <v>20</v>
      </c>
      <c r="AH10" s="1">
        <v>55</v>
      </c>
      <c r="AI10" s="1">
        <v>73</v>
      </c>
      <c r="AJ10" s="1">
        <v>58</v>
      </c>
      <c r="AK10" s="1">
        <v>8</v>
      </c>
      <c r="AL10" s="1">
        <v>10</v>
      </c>
      <c r="AM10" s="1">
        <v>10</v>
      </c>
      <c r="AN10" s="1">
        <v>28</v>
      </c>
      <c r="AO10" s="1">
        <v>47</v>
      </c>
      <c r="AP10" s="1">
        <v>11</v>
      </c>
      <c r="AQ10" s="1">
        <v>53</v>
      </c>
      <c r="AR10" s="1">
        <v>12</v>
      </c>
      <c r="AS10" s="1">
        <v>58</v>
      </c>
      <c r="AT10" s="1">
        <v>22</v>
      </c>
      <c r="AU10" s="1">
        <v>66</v>
      </c>
      <c r="AV10" s="1">
        <v>24</v>
      </c>
      <c r="AW10" s="1">
        <v>73</v>
      </c>
      <c r="AX10" s="1">
        <v>26</v>
      </c>
      <c r="AY10" s="1">
        <v>62</v>
      </c>
      <c r="AZ10" s="1">
        <v>7</v>
      </c>
      <c r="BA10" s="1">
        <v>10</v>
      </c>
      <c r="BB10" s="1">
        <v>11</v>
      </c>
      <c r="BC10" s="1">
        <v>28</v>
      </c>
      <c r="BD10" s="1">
        <v>48</v>
      </c>
      <c r="BE10" s="1">
        <v>11</v>
      </c>
      <c r="BF10" s="1">
        <v>53</v>
      </c>
      <c r="BG10" s="1">
        <v>18</v>
      </c>
      <c r="BH10" s="1">
        <v>17</v>
      </c>
      <c r="BI10" s="1">
        <v>20</v>
      </c>
      <c r="BJ10" s="1">
        <v>55</v>
      </c>
      <c r="BK10" s="1">
        <v>47</v>
      </c>
      <c r="BL10" s="1">
        <v>26</v>
      </c>
      <c r="BM10" s="1">
        <v>53</v>
      </c>
      <c r="BN10" s="1">
        <v>100</v>
      </c>
      <c r="BO10" s="1">
        <v>55</v>
      </c>
      <c r="BP10" s="1">
        <v>9999</v>
      </c>
      <c r="BQ10" s="1">
        <v>9999</v>
      </c>
      <c r="BR10" s="1">
        <v>9999</v>
      </c>
      <c r="BS10" s="1">
        <v>9999</v>
      </c>
      <c r="BT10" s="1">
        <v>9999</v>
      </c>
      <c r="BU10" s="1">
        <v>1</v>
      </c>
      <c r="BV10" s="1">
        <v>47.31</v>
      </c>
      <c r="BW10" s="1">
        <v>7</v>
      </c>
      <c r="BX10" s="1">
        <v>44.3</v>
      </c>
      <c r="BY10" s="1">
        <v>403.51</v>
      </c>
      <c r="BZ10" s="1">
        <v>51.8</v>
      </c>
      <c r="CA10" s="1">
        <v>6.28</v>
      </c>
      <c r="CB10" s="1">
        <v>56.15</v>
      </c>
      <c r="CC10" s="1">
        <v>8.52</v>
      </c>
      <c r="CD10" s="1">
        <v>54.46</v>
      </c>
      <c r="CE10" s="1">
        <v>1.02</v>
      </c>
      <c r="CF10" s="1">
        <v>47.02</v>
      </c>
      <c r="CG10" s="1">
        <v>0.9</v>
      </c>
      <c r="CH10" s="1">
        <v>50.6</v>
      </c>
      <c r="CI10" s="1">
        <v>0</v>
      </c>
      <c r="CJ10" s="1">
        <v>46.79</v>
      </c>
      <c r="CK10" s="1">
        <v>0.03</v>
      </c>
      <c r="CL10" s="1">
        <v>63.22</v>
      </c>
      <c r="CM10" s="1">
        <v>0.15</v>
      </c>
      <c r="CN10" s="1">
        <v>73.56</v>
      </c>
      <c r="CO10" s="1">
        <v>0.13</v>
      </c>
      <c r="CP10" s="1">
        <v>75.36</v>
      </c>
      <c r="CQ10" s="1">
        <v>0.16</v>
      </c>
      <c r="CR10" s="1">
        <v>63.29</v>
      </c>
      <c r="CS10" s="1">
        <v>57</v>
      </c>
      <c r="CT10" s="1">
        <v>9999</v>
      </c>
      <c r="CU10" s="1">
        <v>74</v>
      </c>
      <c r="CV10" s="1">
        <v>47</v>
      </c>
      <c r="CW10" s="1">
        <v>48</v>
      </c>
      <c r="CX10" s="1">
        <v>62</v>
      </c>
      <c r="CY10" s="1">
        <v>55</v>
      </c>
      <c r="CZ10" s="1">
        <v>9999</v>
      </c>
      <c r="DA10" s="1">
        <v>0</v>
      </c>
    </row>
    <row r="11" spans="1:105" x14ac:dyDescent="0.15">
      <c r="A11" s="1" t="s">
        <v>193</v>
      </c>
      <c r="B11" s="1" t="s">
        <v>420</v>
      </c>
      <c r="C11" s="1">
        <v>3</v>
      </c>
      <c r="D11" s="1">
        <v>13</v>
      </c>
      <c r="E11" s="1">
        <v>35</v>
      </c>
      <c r="F11" s="1">
        <v>103</v>
      </c>
      <c r="G11" s="1">
        <v>102</v>
      </c>
      <c r="H11" s="1">
        <v>1</v>
      </c>
      <c r="I11" s="1">
        <v>46</v>
      </c>
      <c r="J11" s="1">
        <v>38</v>
      </c>
      <c r="K11" s="1">
        <v>32</v>
      </c>
      <c r="L11" s="1">
        <v>44</v>
      </c>
      <c r="M11" s="1">
        <v>82</v>
      </c>
      <c r="N11" s="1">
        <v>87</v>
      </c>
      <c r="O11" s="1">
        <v>55</v>
      </c>
      <c r="P11" s="1">
        <v>58</v>
      </c>
      <c r="Q11" s="1">
        <v>25</v>
      </c>
      <c r="R11" s="1">
        <v>50</v>
      </c>
      <c r="S11" s="1">
        <v>108</v>
      </c>
      <c r="T11" s="1">
        <v>106</v>
      </c>
      <c r="U11" s="1">
        <v>190</v>
      </c>
      <c r="V11" s="1">
        <v>96</v>
      </c>
      <c r="W11" s="1">
        <v>120</v>
      </c>
      <c r="X11" s="1">
        <v>37</v>
      </c>
      <c r="Y11" s="1">
        <v>5</v>
      </c>
      <c r="Z11" s="1">
        <v>32</v>
      </c>
      <c r="AA11" s="1">
        <v>9</v>
      </c>
      <c r="AB11" s="1">
        <v>120</v>
      </c>
      <c r="AC11" s="1">
        <v>72</v>
      </c>
      <c r="AD11" s="1">
        <v>10</v>
      </c>
      <c r="AE11" s="1">
        <v>19</v>
      </c>
      <c r="AF11" s="1">
        <v>97</v>
      </c>
      <c r="AG11" s="1">
        <v>14</v>
      </c>
      <c r="AH11" s="1">
        <v>65</v>
      </c>
      <c r="AI11" s="1">
        <v>57</v>
      </c>
      <c r="AJ11" s="1">
        <v>45</v>
      </c>
      <c r="AK11" s="1">
        <v>5</v>
      </c>
      <c r="AL11" s="1">
        <v>6</v>
      </c>
      <c r="AM11" s="1">
        <v>6</v>
      </c>
      <c r="AN11" s="1">
        <v>17</v>
      </c>
      <c r="AO11" s="1">
        <v>30</v>
      </c>
      <c r="AP11" s="1">
        <v>3</v>
      </c>
      <c r="AQ11" s="1">
        <v>20</v>
      </c>
      <c r="AR11" s="1">
        <v>5</v>
      </c>
      <c r="AS11" s="1">
        <v>20</v>
      </c>
      <c r="AT11" s="1">
        <v>19</v>
      </c>
      <c r="AU11" s="1">
        <v>52</v>
      </c>
      <c r="AV11" s="1">
        <v>15</v>
      </c>
      <c r="AW11" s="1">
        <v>44</v>
      </c>
      <c r="AX11" s="1">
        <v>26</v>
      </c>
      <c r="AY11" s="1">
        <v>59</v>
      </c>
      <c r="AZ11" s="1">
        <v>4</v>
      </c>
      <c r="BA11" s="1">
        <v>7</v>
      </c>
      <c r="BB11" s="1">
        <v>8</v>
      </c>
      <c r="BC11" s="1">
        <v>19</v>
      </c>
      <c r="BD11" s="1">
        <v>32</v>
      </c>
      <c r="BE11" s="1">
        <v>7</v>
      </c>
      <c r="BF11" s="1">
        <v>27</v>
      </c>
      <c r="BG11" s="1">
        <v>13</v>
      </c>
      <c r="BH11" s="1">
        <v>10</v>
      </c>
      <c r="BI11" s="1">
        <v>15</v>
      </c>
      <c r="BJ11" s="1">
        <v>38</v>
      </c>
      <c r="BK11" s="1">
        <v>39</v>
      </c>
      <c r="BL11" s="1">
        <v>18</v>
      </c>
      <c r="BM11" s="1">
        <v>39</v>
      </c>
      <c r="BN11" s="1">
        <v>74</v>
      </c>
      <c r="BO11" s="1">
        <v>26</v>
      </c>
      <c r="BP11" s="1">
        <v>3.96</v>
      </c>
      <c r="BQ11" s="1">
        <v>3.23</v>
      </c>
      <c r="BR11" s="1">
        <v>2.12</v>
      </c>
      <c r="BS11" s="1">
        <v>3.1</v>
      </c>
      <c r="BT11" s="1">
        <v>49</v>
      </c>
      <c r="BU11" s="1">
        <v>4</v>
      </c>
      <c r="BV11" s="1">
        <v>52.87</v>
      </c>
      <c r="BW11" s="1">
        <v>14</v>
      </c>
      <c r="BX11" s="1">
        <v>50.11</v>
      </c>
      <c r="BY11" s="1">
        <v>413.56</v>
      </c>
      <c r="BZ11" s="1">
        <v>55.35</v>
      </c>
      <c r="CA11" s="1">
        <v>9.49</v>
      </c>
      <c r="CB11" s="1">
        <v>67.510000000000005</v>
      </c>
      <c r="CC11" s="1">
        <v>14.17</v>
      </c>
      <c r="CD11" s="1">
        <v>62.86</v>
      </c>
      <c r="CE11" s="1">
        <v>0.7</v>
      </c>
      <c r="CF11" s="1">
        <v>49.05</v>
      </c>
      <c r="CG11" s="1">
        <v>0.44</v>
      </c>
      <c r="CH11" s="1">
        <v>46.68</v>
      </c>
      <c r="CI11" s="1">
        <v>2</v>
      </c>
      <c r="CJ11" s="1">
        <v>57.28</v>
      </c>
      <c r="CK11" s="1">
        <v>-0.01</v>
      </c>
      <c r="CL11" s="1">
        <v>47.15</v>
      </c>
      <c r="CM11" s="1">
        <v>0.09</v>
      </c>
      <c r="CN11" s="1">
        <v>61.4</v>
      </c>
      <c r="CO11" s="1">
        <v>0.13</v>
      </c>
      <c r="CP11" s="1">
        <v>74.489999999999995</v>
      </c>
      <c r="CQ11" s="1">
        <v>0.05</v>
      </c>
      <c r="CR11" s="1">
        <v>53.1</v>
      </c>
      <c r="CS11" s="1">
        <v>49</v>
      </c>
      <c r="CT11" s="1">
        <v>49</v>
      </c>
      <c r="CU11" s="1">
        <v>48</v>
      </c>
      <c r="CV11" s="1">
        <v>30</v>
      </c>
      <c r="CW11" s="1">
        <v>32</v>
      </c>
      <c r="CX11" s="1">
        <v>59</v>
      </c>
      <c r="CY11" s="1">
        <v>26</v>
      </c>
      <c r="CZ11" s="1">
        <v>37</v>
      </c>
      <c r="DA11" s="1">
        <v>0</v>
      </c>
    </row>
    <row r="12" spans="1:105" x14ac:dyDescent="0.15">
      <c r="A12" s="1" t="s">
        <v>189</v>
      </c>
      <c r="B12" s="1" t="s">
        <v>421</v>
      </c>
      <c r="C12" s="1">
        <v>1</v>
      </c>
      <c r="D12" s="1">
        <v>17</v>
      </c>
      <c r="E12" s="1">
        <v>49</v>
      </c>
      <c r="F12" s="1">
        <v>127</v>
      </c>
      <c r="G12" s="1">
        <v>116</v>
      </c>
      <c r="H12" s="1">
        <v>11</v>
      </c>
      <c r="I12" s="1">
        <v>69</v>
      </c>
      <c r="J12" s="1">
        <v>66</v>
      </c>
      <c r="K12" s="1">
        <v>39</v>
      </c>
      <c r="L12" s="1">
        <v>57</v>
      </c>
      <c r="M12" s="1">
        <v>123</v>
      </c>
      <c r="N12" s="1">
        <v>119</v>
      </c>
      <c r="O12" s="1">
        <v>68</v>
      </c>
      <c r="P12" s="1">
        <v>66</v>
      </c>
      <c r="Q12" s="1">
        <v>32</v>
      </c>
      <c r="R12" s="1">
        <v>63</v>
      </c>
      <c r="S12" s="1">
        <v>129</v>
      </c>
      <c r="T12" s="1">
        <v>126</v>
      </c>
      <c r="U12" s="1">
        <v>252</v>
      </c>
      <c r="V12" s="1">
        <v>125</v>
      </c>
      <c r="W12" s="1">
        <v>120</v>
      </c>
      <c r="X12" s="1">
        <v>49</v>
      </c>
      <c r="Y12" s="1">
        <v>1</v>
      </c>
      <c r="Z12" s="1">
        <v>48</v>
      </c>
      <c r="AA12" s="1">
        <v>16</v>
      </c>
      <c r="AB12" s="1">
        <v>120</v>
      </c>
      <c r="AC12" s="1">
        <v>84</v>
      </c>
      <c r="AD12" s="1">
        <v>12</v>
      </c>
      <c r="AE12" s="1">
        <v>28</v>
      </c>
      <c r="AF12" s="1">
        <v>122</v>
      </c>
      <c r="AG12" s="1">
        <v>14</v>
      </c>
      <c r="AH12" s="1">
        <v>64</v>
      </c>
      <c r="AI12" s="1">
        <v>71</v>
      </c>
      <c r="AJ12" s="1">
        <v>58</v>
      </c>
      <c r="AK12" s="1">
        <v>7</v>
      </c>
      <c r="AL12" s="1">
        <v>10</v>
      </c>
      <c r="AM12" s="1">
        <v>11</v>
      </c>
      <c r="AN12" s="1">
        <v>28</v>
      </c>
      <c r="AO12" s="1">
        <v>48</v>
      </c>
      <c r="AP12" s="1">
        <v>10</v>
      </c>
      <c r="AQ12" s="1">
        <v>47</v>
      </c>
      <c r="AR12" s="1">
        <v>12</v>
      </c>
      <c r="AS12" s="1">
        <v>58</v>
      </c>
      <c r="AT12" s="1">
        <v>21</v>
      </c>
      <c r="AU12" s="1">
        <v>58</v>
      </c>
      <c r="AV12" s="1">
        <v>20</v>
      </c>
      <c r="AW12" s="1">
        <v>59</v>
      </c>
      <c r="AX12" s="1">
        <v>26</v>
      </c>
      <c r="AY12" s="1">
        <v>58</v>
      </c>
      <c r="AZ12" s="1">
        <v>7</v>
      </c>
      <c r="BA12" s="1">
        <v>12</v>
      </c>
      <c r="BB12" s="1">
        <v>12</v>
      </c>
      <c r="BC12" s="1">
        <v>31</v>
      </c>
      <c r="BD12" s="1">
        <v>52</v>
      </c>
      <c r="BE12" s="1">
        <v>12</v>
      </c>
      <c r="BF12" s="1">
        <v>59</v>
      </c>
      <c r="BG12" s="1">
        <v>17</v>
      </c>
      <c r="BH12" s="1">
        <v>14</v>
      </c>
      <c r="BI12" s="1">
        <v>15</v>
      </c>
      <c r="BJ12" s="1">
        <v>46</v>
      </c>
      <c r="BK12" s="1">
        <v>39</v>
      </c>
      <c r="BL12" s="1">
        <v>24</v>
      </c>
      <c r="BM12" s="1">
        <v>49</v>
      </c>
      <c r="BN12" s="1">
        <v>104</v>
      </c>
      <c r="BO12" s="1">
        <v>61</v>
      </c>
      <c r="BP12" s="1">
        <v>9999</v>
      </c>
      <c r="BQ12" s="1">
        <v>9999</v>
      </c>
      <c r="BR12" s="1">
        <v>9999</v>
      </c>
      <c r="BS12" s="1">
        <v>9999</v>
      </c>
      <c r="BT12" s="1">
        <v>9999</v>
      </c>
      <c r="BU12" s="1">
        <v>0</v>
      </c>
      <c r="BV12" s="1">
        <v>40.86</v>
      </c>
      <c r="BW12" s="1">
        <v>6</v>
      </c>
      <c r="BX12" s="1">
        <v>39.32</v>
      </c>
      <c r="BY12" s="1">
        <v>349.61</v>
      </c>
      <c r="BZ12" s="1">
        <v>45.14</v>
      </c>
      <c r="CA12" s="1">
        <v>3.91</v>
      </c>
      <c r="CB12" s="1">
        <v>41.02</v>
      </c>
      <c r="CC12" s="1">
        <v>3.9</v>
      </c>
      <c r="CD12" s="1">
        <v>39.24</v>
      </c>
      <c r="CE12" s="1">
        <v>1.26</v>
      </c>
      <c r="CF12" s="1">
        <v>36.86</v>
      </c>
      <c r="CG12" s="1">
        <v>0</v>
      </c>
      <c r="CH12" s="1">
        <v>41.82</v>
      </c>
      <c r="CI12" s="1">
        <v>0</v>
      </c>
      <c r="CJ12" s="1">
        <v>44.54</v>
      </c>
      <c r="CK12" s="1">
        <v>0.01</v>
      </c>
      <c r="CL12" s="1">
        <v>53.64</v>
      </c>
      <c r="CM12" s="1">
        <v>0.06</v>
      </c>
      <c r="CN12" s="1">
        <v>56.76</v>
      </c>
      <c r="CO12" s="1">
        <v>7.0000000000000007E-2</v>
      </c>
      <c r="CP12" s="1">
        <v>54.64</v>
      </c>
      <c r="CQ12" s="1">
        <v>0.06</v>
      </c>
      <c r="CR12" s="1">
        <v>54.51</v>
      </c>
      <c r="CS12" s="1">
        <v>60</v>
      </c>
      <c r="CT12" s="1">
        <v>9999</v>
      </c>
      <c r="CU12" s="1">
        <v>60</v>
      </c>
      <c r="CV12" s="1">
        <v>48</v>
      </c>
      <c r="CW12" s="1">
        <v>52</v>
      </c>
      <c r="CX12" s="1">
        <v>58</v>
      </c>
      <c r="CY12" s="1">
        <v>61</v>
      </c>
      <c r="CZ12" s="1">
        <v>9999</v>
      </c>
      <c r="DA12" s="1">
        <v>0</v>
      </c>
    </row>
    <row r="13" spans="1:105" x14ac:dyDescent="0.15">
      <c r="A13" s="1" t="s">
        <v>195</v>
      </c>
      <c r="B13" s="1" t="s">
        <v>422</v>
      </c>
      <c r="C13" s="1">
        <v>1</v>
      </c>
      <c r="D13" s="1">
        <v>13</v>
      </c>
      <c r="E13" s="1">
        <v>40</v>
      </c>
      <c r="F13" s="1">
        <v>112</v>
      </c>
      <c r="G13" s="1">
        <v>105</v>
      </c>
      <c r="H13" s="1">
        <v>7</v>
      </c>
      <c r="I13" s="1">
        <v>59</v>
      </c>
      <c r="J13" s="1">
        <v>54</v>
      </c>
      <c r="K13" s="1">
        <v>33</v>
      </c>
      <c r="L13" s="1">
        <v>46</v>
      </c>
      <c r="M13" s="1">
        <v>100</v>
      </c>
      <c r="N13" s="1">
        <v>99</v>
      </c>
      <c r="O13" s="1">
        <v>71</v>
      </c>
      <c r="P13" s="1">
        <v>69</v>
      </c>
      <c r="Q13" s="1">
        <v>34</v>
      </c>
      <c r="R13" s="1">
        <v>67</v>
      </c>
      <c r="S13" s="1">
        <v>136</v>
      </c>
      <c r="T13" s="1">
        <v>133</v>
      </c>
      <c r="U13" s="1">
        <v>236</v>
      </c>
      <c r="V13" s="1">
        <v>116</v>
      </c>
      <c r="W13" s="1">
        <v>120</v>
      </c>
      <c r="X13" s="1">
        <v>37</v>
      </c>
      <c r="Y13" s="1">
        <v>0</v>
      </c>
      <c r="Z13" s="1">
        <v>37</v>
      </c>
      <c r="AA13" s="1">
        <v>11</v>
      </c>
      <c r="AB13" s="1">
        <v>120</v>
      </c>
      <c r="AC13" s="1">
        <v>90</v>
      </c>
      <c r="AD13" s="1">
        <v>13</v>
      </c>
      <c r="AE13" s="1">
        <v>24</v>
      </c>
      <c r="AF13" s="1">
        <v>111</v>
      </c>
      <c r="AG13" s="1">
        <v>8888</v>
      </c>
      <c r="AH13" s="1">
        <v>8888</v>
      </c>
      <c r="AI13" s="1">
        <v>69</v>
      </c>
      <c r="AJ13" s="1">
        <v>56</v>
      </c>
      <c r="AK13" s="1">
        <v>7</v>
      </c>
      <c r="AL13" s="1">
        <v>10</v>
      </c>
      <c r="AM13" s="1">
        <v>11</v>
      </c>
      <c r="AN13" s="1">
        <v>28</v>
      </c>
      <c r="AO13" s="1">
        <v>48</v>
      </c>
      <c r="AP13" s="1">
        <v>10</v>
      </c>
      <c r="AQ13" s="1">
        <v>47</v>
      </c>
      <c r="AR13" s="1">
        <v>12</v>
      </c>
      <c r="AS13" s="1">
        <v>58</v>
      </c>
      <c r="AT13" s="1">
        <v>18</v>
      </c>
      <c r="AU13" s="1">
        <v>49</v>
      </c>
      <c r="AV13" s="1">
        <v>19</v>
      </c>
      <c r="AW13" s="1">
        <v>56</v>
      </c>
      <c r="AX13" s="1">
        <v>25</v>
      </c>
      <c r="AY13" s="1">
        <v>54</v>
      </c>
      <c r="AZ13" s="1">
        <v>5</v>
      </c>
      <c r="BA13" s="1">
        <v>9</v>
      </c>
      <c r="BB13" s="1">
        <v>11</v>
      </c>
      <c r="BC13" s="1">
        <v>25</v>
      </c>
      <c r="BD13" s="1">
        <v>42</v>
      </c>
      <c r="BE13" s="1">
        <v>9</v>
      </c>
      <c r="BF13" s="1">
        <v>39</v>
      </c>
      <c r="BG13" s="1">
        <v>12</v>
      </c>
      <c r="BH13" s="1">
        <v>14</v>
      </c>
      <c r="BI13" s="1">
        <v>14</v>
      </c>
      <c r="BJ13" s="1">
        <v>40</v>
      </c>
      <c r="BK13" s="1">
        <v>39</v>
      </c>
      <c r="BL13" s="1">
        <v>21</v>
      </c>
      <c r="BM13" s="1">
        <v>44</v>
      </c>
      <c r="BN13" s="1">
        <v>93</v>
      </c>
      <c r="BO13" s="1">
        <v>48</v>
      </c>
      <c r="BP13" s="1">
        <v>3.34</v>
      </c>
      <c r="BQ13" s="1">
        <v>3.96</v>
      </c>
      <c r="BR13" s="1">
        <v>2.23</v>
      </c>
      <c r="BS13" s="1">
        <v>3.18</v>
      </c>
      <c r="BT13" s="1">
        <v>50</v>
      </c>
      <c r="BU13" s="1">
        <v>2</v>
      </c>
      <c r="BV13" s="1">
        <v>46.88</v>
      </c>
      <c r="BW13" s="1">
        <v>18</v>
      </c>
      <c r="BX13" s="1">
        <v>54.74</v>
      </c>
      <c r="BY13" s="1">
        <v>279.14999999999998</v>
      </c>
      <c r="BZ13" s="1">
        <v>31.47</v>
      </c>
      <c r="CA13" s="1">
        <v>2.82</v>
      </c>
      <c r="CB13" s="1">
        <v>31.23</v>
      </c>
      <c r="CC13" s="1">
        <v>3.53</v>
      </c>
      <c r="CD13" s="1">
        <v>37.44</v>
      </c>
      <c r="CE13" s="1">
        <v>0.44</v>
      </c>
      <c r="CF13" s="1">
        <v>54.61</v>
      </c>
      <c r="CG13" s="1">
        <v>0.28000000000000008</v>
      </c>
      <c r="CH13" s="1">
        <v>44.87</v>
      </c>
      <c r="CI13" s="1">
        <v>0</v>
      </c>
      <c r="CJ13" s="1">
        <v>44.54</v>
      </c>
      <c r="CK13" s="1">
        <v>0</v>
      </c>
      <c r="CL13" s="1">
        <v>47.75</v>
      </c>
      <c r="CM13" s="1">
        <v>0.11</v>
      </c>
      <c r="CN13" s="1">
        <v>63.22</v>
      </c>
      <c r="CO13" s="1">
        <v>0.05</v>
      </c>
      <c r="CP13" s="1">
        <v>48.79</v>
      </c>
      <c r="CQ13" s="1">
        <v>0.11</v>
      </c>
      <c r="CR13" s="1">
        <v>59.05</v>
      </c>
      <c r="CS13" s="1">
        <v>50</v>
      </c>
      <c r="CT13" s="1">
        <v>50</v>
      </c>
      <c r="CU13" s="1">
        <v>53</v>
      </c>
      <c r="CV13" s="1">
        <v>48</v>
      </c>
      <c r="CW13" s="1">
        <v>42</v>
      </c>
      <c r="CX13" s="1">
        <v>54</v>
      </c>
      <c r="CY13" s="1">
        <v>48</v>
      </c>
      <c r="CZ13" s="1">
        <v>49</v>
      </c>
      <c r="DA13" s="1">
        <v>0</v>
      </c>
    </row>
    <row r="14" spans="1:105" x14ac:dyDescent="0.15">
      <c r="A14" s="1" t="s">
        <v>176</v>
      </c>
      <c r="B14" s="1" t="s">
        <v>423</v>
      </c>
      <c r="C14" s="1">
        <v>1</v>
      </c>
      <c r="D14" s="1">
        <v>16</v>
      </c>
      <c r="E14" s="1">
        <v>45</v>
      </c>
      <c r="F14" s="1">
        <v>117</v>
      </c>
      <c r="G14" s="1">
        <v>111</v>
      </c>
      <c r="H14" s="1">
        <v>6</v>
      </c>
      <c r="I14" s="1">
        <v>67</v>
      </c>
      <c r="J14" s="1">
        <v>59</v>
      </c>
      <c r="K14" s="1">
        <v>43</v>
      </c>
      <c r="L14" s="1">
        <v>62</v>
      </c>
      <c r="M14" s="1">
        <v>121</v>
      </c>
      <c r="N14" s="1">
        <v>117</v>
      </c>
      <c r="O14" s="1">
        <v>39</v>
      </c>
      <c r="P14" s="1">
        <v>50</v>
      </c>
      <c r="Q14" s="1">
        <v>33</v>
      </c>
      <c r="R14" s="1">
        <v>68</v>
      </c>
      <c r="S14" s="1">
        <v>118</v>
      </c>
      <c r="T14" s="1">
        <v>115</v>
      </c>
      <c r="U14" s="1">
        <v>239</v>
      </c>
      <c r="V14" s="1">
        <v>118</v>
      </c>
      <c r="W14" s="1">
        <v>120</v>
      </c>
      <c r="X14" s="1">
        <v>26</v>
      </c>
      <c r="Y14" s="1">
        <v>0</v>
      </c>
      <c r="Z14" s="1">
        <v>26</v>
      </c>
      <c r="AA14" s="1">
        <v>8</v>
      </c>
      <c r="AB14" s="1">
        <v>120</v>
      </c>
      <c r="AC14" s="1">
        <v>92</v>
      </c>
      <c r="AD14" s="1">
        <v>14</v>
      </c>
      <c r="AE14" s="1">
        <v>22</v>
      </c>
      <c r="AF14" s="1">
        <v>105</v>
      </c>
      <c r="AG14" s="1">
        <v>33</v>
      </c>
      <c r="AH14" s="1">
        <v>43</v>
      </c>
      <c r="AI14" s="1">
        <v>63</v>
      </c>
      <c r="AJ14" s="1">
        <v>54</v>
      </c>
      <c r="AK14" s="1">
        <v>7</v>
      </c>
      <c r="AL14" s="1">
        <v>11</v>
      </c>
      <c r="AM14" s="1">
        <v>12</v>
      </c>
      <c r="AN14" s="1">
        <v>30</v>
      </c>
      <c r="AO14" s="1">
        <v>53</v>
      </c>
      <c r="AP14" s="1">
        <v>12</v>
      </c>
      <c r="AQ14" s="1">
        <v>59</v>
      </c>
      <c r="AR14" s="1">
        <v>11</v>
      </c>
      <c r="AS14" s="1">
        <v>49</v>
      </c>
      <c r="AT14" s="1">
        <v>19</v>
      </c>
      <c r="AU14" s="1">
        <v>60</v>
      </c>
      <c r="AV14" s="1">
        <v>13</v>
      </c>
      <c r="AW14" s="1">
        <v>43</v>
      </c>
      <c r="AX14" s="1">
        <v>23</v>
      </c>
      <c r="AY14" s="1">
        <v>57</v>
      </c>
      <c r="AZ14" s="1">
        <v>4</v>
      </c>
      <c r="BA14" s="1">
        <v>9</v>
      </c>
      <c r="BB14" s="1">
        <v>10</v>
      </c>
      <c r="BC14" s="1">
        <v>23</v>
      </c>
      <c r="BD14" s="1">
        <v>46</v>
      </c>
      <c r="BE14" s="1">
        <v>9</v>
      </c>
      <c r="BF14" s="1">
        <v>46</v>
      </c>
      <c r="BG14" s="1">
        <v>14</v>
      </c>
      <c r="BH14" s="1">
        <v>9</v>
      </c>
      <c r="BI14" s="1">
        <v>17</v>
      </c>
      <c r="BJ14" s="1">
        <v>40</v>
      </c>
      <c r="BK14" s="1">
        <v>37</v>
      </c>
      <c r="BL14" s="1">
        <v>21</v>
      </c>
      <c r="BM14" s="1">
        <v>45</v>
      </c>
      <c r="BN14" s="1">
        <v>97</v>
      </c>
      <c r="BO14" s="1">
        <v>49</v>
      </c>
      <c r="BP14" s="1">
        <v>4.24</v>
      </c>
      <c r="BQ14" s="1">
        <v>3.96</v>
      </c>
      <c r="BR14" s="1">
        <v>2.78</v>
      </c>
      <c r="BS14" s="1">
        <v>3.66</v>
      </c>
      <c r="BT14" s="1">
        <v>61</v>
      </c>
      <c r="BU14" s="1">
        <v>0</v>
      </c>
      <c r="BV14" s="1">
        <v>42.82</v>
      </c>
      <c r="BW14" s="1">
        <v>4</v>
      </c>
      <c r="BX14" s="1">
        <v>39.25</v>
      </c>
      <c r="BY14" s="1">
        <v>369.27</v>
      </c>
      <c r="BZ14" s="1">
        <v>42.09</v>
      </c>
      <c r="CA14" s="1">
        <v>4.3</v>
      </c>
      <c r="CB14" s="1">
        <v>44.17</v>
      </c>
      <c r="CC14" s="1">
        <v>5.87</v>
      </c>
      <c r="CD14" s="1">
        <v>49.86</v>
      </c>
      <c r="CE14" s="1">
        <v>1.19</v>
      </c>
      <c r="CF14" s="1">
        <v>42.53</v>
      </c>
      <c r="CG14" s="1">
        <v>0.61</v>
      </c>
      <c r="CH14" s="1">
        <v>48.72</v>
      </c>
      <c r="CI14" s="1">
        <v>0</v>
      </c>
      <c r="CJ14" s="1">
        <v>45.91</v>
      </c>
      <c r="CK14" s="1">
        <v>0.03</v>
      </c>
      <c r="CL14" s="1">
        <v>65.239999999999995</v>
      </c>
      <c r="CM14" s="1">
        <v>0.1</v>
      </c>
      <c r="CN14" s="1">
        <v>72.37</v>
      </c>
      <c r="CO14" s="1">
        <v>0.05</v>
      </c>
      <c r="CP14" s="1">
        <v>49.82</v>
      </c>
      <c r="CQ14" s="1">
        <v>0.13</v>
      </c>
      <c r="CR14" s="1">
        <v>65.45</v>
      </c>
      <c r="CS14" s="1">
        <v>47</v>
      </c>
      <c r="CT14" s="1">
        <v>61</v>
      </c>
      <c r="CU14" s="1">
        <v>52</v>
      </c>
      <c r="CV14" s="1">
        <v>53</v>
      </c>
      <c r="CW14" s="1">
        <v>46</v>
      </c>
      <c r="CX14" s="1">
        <v>57</v>
      </c>
      <c r="CY14" s="1">
        <v>49</v>
      </c>
      <c r="CZ14" s="1">
        <v>53</v>
      </c>
      <c r="DA14" s="1">
        <v>0</v>
      </c>
    </row>
    <row r="15" spans="1:105" x14ac:dyDescent="0.15">
      <c r="A15" s="1" t="s">
        <v>197</v>
      </c>
      <c r="B15" s="1" t="s">
        <v>424</v>
      </c>
      <c r="C15" s="1">
        <v>1</v>
      </c>
      <c r="D15" s="1">
        <v>16</v>
      </c>
      <c r="E15" s="1">
        <v>43</v>
      </c>
      <c r="F15" s="1">
        <v>117</v>
      </c>
      <c r="G15" s="1">
        <v>111</v>
      </c>
      <c r="H15" s="1">
        <v>6</v>
      </c>
      <c r="I15" s="1">
        <v>58</v>
      </c>
      <c r="J15" s="1">
        <v>52</v>
      </c>
      <c r="K15" s="1">
        <v>37</v>
      </c>
      <c r="L15" s="1">
        <v>54</v>
      </c>
      <c r="M15" s="1">
        <v>106</v>
      </c>
      <c r="N15" s="1">
        <v>105</v>
      </c>
      <c r="O15" s="1">
        <v>71</v>
      </c>
      <c r="P15" s="1">
        <v>69</v>
      </c>
      <c r="Q15" s="1">
        <v>32</v>
      </c>
      <c r="R15" s="1">
        <v>63</v>
      </c>
      <c r="S15" s="1">
        <v>132</v>
      </c>
      <c r="T15" s="1">
        <v>129</v>
      </c>
      <c r="U15" s="1">
        <v>238</v>
      </c>
      <c r="V15" s="1">
        <v>117</v>
      </c>
      <c r="W15" s="1">
        <v>120</v>
      </c>
      <c r="X15" s="1">
        <v>45</v>
      </c>
      <c r="Y15" s="1">
        <v>2</v>
      </c>
      <c r="Z15" s="1">
        <v>43</v>
      </c>
      <c r="AA15" s="1">
        <v>13</v>
      </c>
      <c r="AB15" s="1">
        <v>120</v>
      </c>
      <c r="AC15" s="1">
        <v>102</v>
      </c>
      <c r="AD15" s="1">
        <v>16</v>
      </c>
      <c r="AE15" s="1">
        <v>29</v>
      </c>
      <c r="AF15" s="1">
        <v>124</v>
      </c>
      <c r="AG15" s="1">
        <v>21</v>
      </c>
      <c r="AH15" s="1">
        <v>51</v>
      </c>
      <c r="AI15" s="1">
        <v>76</v>
      </c>
      <c r="AJ15" s="1">
        <v>63</v>
      </c>
      <c r="AK15" s="1">
        <v>8</v>
      </c>
      <c r="AL15" s="1">
        <v>9</v>
      </c>
      <c r="AM15" s="1">
        <v>11</v>
      </c>
      <c r="AN15" s="1">
        <v>28</v>
      </c>
      <c r="AO15" s="1">
        <v>48</v>
      </c>
      <c r="AP15" s="1">
        <v>10</v>
      </c>
      <c r="AQ15" s="1">
        <v>47</v>
      </c>
      <c r="AR15" s="1">
        <v>11</v>
      </c>
      <c r="AS15" s="1">
        <v>51</v>
      </c>
      <c r="AT15" s="1">
        <v>18</v>
      </c>
      <c r="AU15" s="1">
        <v>48</v>
      </c>
      <c r="AV15" s="1">
        <v>19</v>
      </c>
      <c r="AW15" s="1">
        <v>56</v>
      </c>
      <c r="AX15" s="1">
        <v>25</v>
      </c>
      <c r="AY15" s="1">
        <v>54</v>
      </c>
      <c r="AZ15" s="1">
        <v>6</v>
      </c>
      <c r="BA15" s="1">
        <v>10</v>
      </c>
      <c r="BB15" s="1">
        <v>11</v>
      </c>
      <c r="BC15" s="1">
        <v>27</v>
      </c>
      <c r="BD15" s="1">
        <v>45</v>
      </c>
      <c r="BE15" s="1">
        <v>11</v>
      </c>
      <c r="BF15" s="1">
        <v>52</v>
      </c>
      <c r="BG15" s="1">
        <v>15</v>
      </c>
      <c r="BH15" s="1">
        <v>17</v>
      </c>
      <c r="BI15" s="1">
        <v>20</v>
      </c>
      <c r="BJ15" s="1">
        <v>52</v>
      </c>
      <c r="BK15" s="1">
        <v>43</v>
      </c>
      <c r="BL15" s="1">
        <v>29</v>
      </c>
      <c r="BM15" s="1">
        <v>59</v>
      </c>
      <c r="BN15" s="1">
        <v>94</v>
      </c>
      <c r="BO15" s="1">
        <v>49</v>
      </c>
      <c r="BP15" s="1">
        <v>4.24</v>
      </c>
      <c r="BQ15" s="1">
        <v>3.96</v>
      </c>
      <c r="BR15" s="1">
        <v>2.57</v>
      </c>
      <c r="BS15" s="1">
        <v>3.59</v>
      </c>
      <c r="BT15" s="1">
        <v>56</v>
      </c>
      <c r="BU15" s="1">
        <v>0</v>
      </c>
      <c r="BV15" s="1">
        <v>40.86</v>
      </c>
      <c r="BW15" s="1">
        <v>11</v>
      </c>
      <c r="BX15" s="1">
        <v>45.74</v>
      </c>
      <c r="BY15" s="1">
        <v>298.33</v>
      </c>
      <c r="BZ15" s="1">
        <v>35.51</v>
      </c>
      <c r="CA15" s="1">
        <v>2.92</v>
      </c>
      <c r="CB15" s="1">
        <v>32.26</v>
      </c>
      <c r="CC15" s="1">
        <v>3.11</v>
      </c>
      <c r="CD15" s="1">
        <v>35.1</v>
      </c>
      <c r="CE15" s="1">
        <v>0.85</v>
      </c>
      <c r="CF15" s="1">
        <v>45.79</v>
      </c>
      <c r="CG15" s="1">
        <v>0.03</v>
      </c>
      <c r="CH15" s="1">
        <v>42.1</v>
      </c>
      <c r="CI15" s="1">
        <v>0</v>
      </c>
      <c r="CJ15" s="1">
        <v>44.54</v>
      </c>
      <c r="CK15" s="1">
        <v>0.01</v>
      </c>
      <c r="CL15" s="1">
        <v>51.29</v>
      </c>
      <c r="CM15" s="1">
        <v>0.01</v>
      </c>
      <c r="CN15" s="1">
        <v>51.15</v>
      </c>
      <c r="CO15" s="1">
        <v>0.04</v>
      </c>
      <c r="CP15" s="1">
        <v>44.8</v>
      </c>
      <c r="CQ15" s="1">
        <v>-7.0000000000000007E-2</v>
      </c>
      <c r="CR15" s="1">
        <v>42.61</v>
      </c>
      <c r="CS15" s="1">
        <v>60</v>
      </c>
      <c r="CT15" s="1">
        <v>56</v>
      </c>
      <c r="CU15" s="1">
        <v>52</v>
      </c>
      <c r="CV15" s="1">
        <v>48</v>
      </c>
      <c r="CW15" s="1">
        <v>45</v>
      </c>
      <c r="CX15" s="1">
        <v>54</v>
      </c>
      <c r="CY15" s="1">
        <v>49</v>
      </c>
      <c r="CZ15" s="1">
        <v>53</v>
      </c>
      <c r="DA15" s="1">
        <v>0</v>
      </c>
    </row>
    <row r="16" spans="1:105" x14ac:dyDescent="0.15">
      <c r="A16" s="1" t="s">
        <v>199</v>
      </c>
      <c r="B16" s="1" t="s">
        <v>425</v>
      </c>
      <c r="C16" s="1">
        <v>1</v>
      </c>
      <c r="D16" s="1">
        <v>16</v>
      </c>
      <c r="E16" s="1">
        <v>24</v>
      </c>
      <c r="F16" s="1">
        <v>86</v>
      </c>
      <c r="G16" s="1">
        <v>111</v>
      </c>
      <c r="H16" s="1">
        <v>-25</v>
      </c>
      <c r="I16" s="1">
        <v>63</v>
      </c>
      <c r="J16" s="1">
        <v>54</v>
      </c>
      <c r="K16" s="1">
        <v>39</v>
      </c>
      <c r="L16" s="1">
        <v>57</v>
      </c>
      <c r="M16" s="1">
        <v>111</v>
      </c>
      <c r="N16" s="1">
        <v>108</v>
      </c>
      <c r="O16" s="1">
        <v>49</v>
      </c>
      <c r="P16" s="1">
        <v>57</v>
      </c>
      <c r="Q16" s="1">
        <v>30</v>
      </c>
      <c r="R16" s="1">
        <v>65</v>
      </c>
      <c r="S16" s="1">
        <v>122</v>
      </c>
      <c r="T16" s="1">
        <v>119</v>
      </c>
      <c r="U16" s="1">
        <v>233</v>
      </c>
      <c r="V16" s="1">
        <v>115</v>
      </c>
      <c r="W16" s="1">
        <v>120</v>
      </c>
      <c r="X16" s="1">
        <v>39</v>
      </c>
      <c r="Y16" s="1">
        <v>2</v>
      </c>
      <c r="Z16" s="1">
        <v>37</v>
      </c>
      <c r="AA16" s="1">
        <v>12</v>
      </c>
      <c r="AB16" s="1">
        <v>120</v>
      </c>
      <c r="AC16" s="1">
        <v>92</v>
      </c>
      <c r="AD16" s="1">
        <v>15</v>
      </c>
      <c r="AE16" s="1">
        <v>27</v>
      </c>
      <c r="AF16" s="1">
        <v>120</v>
      </c>
      <c r="AG16" s="1">
        <v>22</v>
      </c>
      <c r="AH16" s="1">
        <v>57</v>
      </c>
      <c r="AI16" s="1">
        <v>60</v>
      </c>
      <c r="AJ16" s="1">
        <v>57</v>
      </c>
      <c r="AK16" s="1">
        <v>7</v>
      </c>
      <c r="AL16" s="1">
        <v>10</v>
      </c>
      <c r="AM16" s="1">
        <v>11</v>
      </c>
      <c r="AN16" s="1">
        <v>28</v>
      </c>
      <c r="AO16" s="1">
        <v>50</v>
      </c>
      <c r="AP16" s="1">
        <v>9</v>
      </c>
      <c r="AQ16" s="1">
        <v>44</v>
      </c>
      <c r="AR16" s="1">
        <v>11</v>
      </c>
      <c r="AS16" s="1">
        <v>51</v>
      </c>
      <c r="AT16" s="1">
        <v>19</v>
      </c>
      <c r="AU16" s="1">
        <v>58</v>
      </c>
      <c r="AV16" s="1">
        <v>14</v>
      </c>
      <c r="AW16" s="1">
        <v>59</v>
      </c>
      <c r="AX16" s="1">
        <v>22</v>
      </c>
      <c r="AY16" s="1">
        <v>55</v>
      </c>
      <c r="AZ16" s="1">
        <v>1</v>
      </c>
      <c r="BA16" s="1">
        <v>5</v>
      </c>
      <c r="BB16" s="1">
        <v>6</v>
      </c>
      <c r="BC16" s="1">
        <v>12</v>
      </c>
      <c r="BD16" s="1">
        <v>31</v>
      </c>
      <c r="BE16" s="1">
        <v>6</v>
      </c>
      <c r="BF16" s="1">
        <v>33</v>
      </c>
      <c r="BG16" s="1">
        <v>10</v>
      </c>
      <c r="BH16" s="1">
        <v>8</v>
      </c>
      <c r="BI16" s="1">
        <v>18</v>
      </c>
      <c r="BJ16" s="1">
        <v>36</v>
      </c>
      <c r="BK16" s="1">
        <v>38</v>
      </c>
      <c r="BL16" s="1">
        <v>28</v>
      </c>
      <c r="BM16" s="1">
        <v>59</v>
      </c>
      <c r="BN16" s="1">
        <v>86</v>
      </c>
      <c r="BO16" s="1">
        <v>37</v>
      </c>
      <c r="BP16" s="1">
        <v>3.62</v>
      </c>
      <c r="BQ16" s="1">
        <v>3.4</v>
      </c>
      <c r="BR16" s="1">
        <v>2.23</v>
      </c>
      <c r="BS16" s="1">
        <v>3.08</v>
      </c>
      <c r="BT16" s="1">
        <v>51</v>
      </c>
      <c r="BU16" s="1">
        <v>0</v>
      </c>
      <c r="BV16" s="1">
        <v>42.1</v>
      </c>
      <c r="BW16" s="1">
        <v>4</v>
      </c>
      <c r="BX16" s="1">
        <v>38.04</v>
      </c>
      <c r="BY16" s="1">
        <v>379.14</v>
      </c>
      <c r="BZ16" s="1">
        <v>48.7</v>
      </c>
      <c r="CA16" s="1">
        <v>5.94</v>
      </c>
      <c r="CB16" s="1">
        <v>55.95</v>
      </c>
      <c r="CC16" s="1">
        <v>8.0399999999999991</v>
      </c>
      <c r="CD16" s="1">
        <v>57.66</v>
      </c>
      <c r="CE16" s="1">
        <v>1.33</v>
      </c>
      <c r="CF16" s="1">
        <v>37.6</v>
      </c>
      <c r="CG16" s="1">
        <v>0.74</v>
      </c>
      <c r="CH16" s="1">
        <v>49.58</v>
      </c>
      <c r="CI16" s="1">
        <v>0</v>
      </c>
      <c r="CJ16" s="1">
        <v>45.77</v>
      </c>
      <c r="CK16" s="1">
        <v>-0.02</v>
      </c>
      <c r="CL16" s="1">
        <v>39.89</v>
      </c>
      <c r="CM16" s="1">
        <v>-0.02</v>
      </c>
      <c r="CN16" s="1">
        <v>53.35</v>
      </c>
      <c r="CO16" s="1">
        <v>0.08</v>
      </c>
      <c r="CP16" s="1">
        <v>61.52</v>
      </c>
      <c r="CQ16" s="1">
        <v>0.22</v>
      </c>
      <c r="CR16" s="1">
        <v>75.38</v>
      </c>
      <c r="CS16" s="1">
        <v>60</v>
      </c>
      <c r="CT16" s="1">
        <v>51</v>
      </c>
      <c r="CU16" s="1">
        <v>60</v>
      </c>
      <c r="CV16" s="1">
        <v>50</v>
      </c>
      <c r="CW16" s="1">
        <v>31</v>
      </c>
      <c r="CX16" s="1">
        <v>55</v>
      </c>
      <c r="CY16" s="1">
        <v>37</v>
      </c>
      <c r="CZ16" s="1">
        <v>48</v>
      </c>
      <c r="DA16" s="1">
        <v>0</v>
      </c>
    </row>
    <row r="17" spans="1:105" x14ac:dyDescent="0.15">
      <c r="A17" s="1" t="s">
        <v>201</v>
      </c>
      <c r="B17" s="1" t="s">
        <v>426</v>
      </c>
      <c r="C17" s="1">
        <v>1</v>
      </c>
      <c r="D17" s="1">
        <v>12</v>
      </c>
      <c r="E17" s="1">
        <v>44</v>
      </c>
      <c r="F17" s="1">
        <v>116</v>
      </c>
      <c r="G17" s="1">
        <v>99</v>
      </c>
      <c r="H17" s="1">
        <v>17</v>
      </c>
      <c r="I17" s="1">
        <v>66</v>
      </c>
      <c r="J17" s="1">
        <v>58</v>
      </c>
      <c r="K17" s="1">
        <v>36</v>
      </c>
      <c r="L17" s="1">
        <v>50</v>
      </c>
      <c r="M17" s="1">
        <v>108</v>
      </c>
      <c r="N17" s="1">
        <v>106</v>
      </c>
      <c r="O17" s="1">
        <v>66</v>
      </c>
      <c r="P17" s="1">
        <v>68</v>
      </c>
      <c r="Q17" s="1">
        <v>31</v>
      </c>
      <c r="R17" s="1">
        <v>64</v>
      </c>
      <c r="S17" s="1">
        <v>132</v>
      </c>
      <c r="T17" s="1">
        <v>129</v>
      </c>
      <c r="U17" s="1">
        <v>240</v>
      </c>
      <c r="V17" s="1">
        <v>118</v>
      </c>
      <c r="W17" s="1">
        <v>120</v>
      </c>
      <c r="X17" s="1">
        <v>39</v>
      </c>
      <c r="Y17" s="1">
        <v>0</v>
      </c>
      <c r="Z17" s="1">
        <v>39</v>
      </c>
      <c r="AA17" s="1">
        <v>12</v>
      </c>
      <c r="AB17" s="1">
        <v>120</v>
      </c>
      <c r="AC17" s="1">
        <v>86</v>
      </c>
      <c r="AD17" s="1">
        <v>13</v>
      </c>
      <c r="AE17" s="1">
        <v>25</v>
      </c>
      <c r="AF17" s="1">
        <v>114</v>
      </c>
      <c r="AG17" s="1">
        <v>16</v>
      </c>
      <c r="AH17" s="1">
        <v>64</v>
      </c>
      <c r="AI17" s="1">
        <v>72</v>
      </c>
      <c r="AJ17" s="1">
        <v>65</v>
      </c>
      <c r="AK17" s="1">
        <v>11</v>
      </c>
      <c r="AL17" s="1">
        <v>12</v>
      </c>
      <c r="AM17" s="1">
        <v>12</v>
      </c>
      <c r="AN17" s="1">
        <v>35</v>
      </c>
      <c r="AO17" s="1">
        <v>73</v>
      </c>
      <c r="AP17" s="1">
        <v>12</v>
      </c>
      <c r="AQ17" s="1">
        <v>60</v>
      </c>
      <c r="AR17" s="1">
        <v>11</v>
      </c>
      <c r="AS17" s="1">
        <v>50</v>
      </c>
      <c r="AT17" s="1">
        <v>26</v>
      </c>
      <c r="AU17" s="1">
        <v>78</v>
      </c>
      <c r="AV17" s="1">
        <v>23</v>
      </c>
      <c r="AW17" s="1">
        <v>69</v>
      </c>
      <c r="AX17" s="1">
        <v>26</v>
      </c>
      <c r="AY17" s="1">
        <v>64</v>
      </c>
      <c r="AZ17" s="1">
        <v>7</v>
      </c>
      <c r="BA17" s="1">
        <v>12</v>
      </c>
      <c r="BB17" s="1">
        <v>11</v>
      </c>
      <c r="BC17" s="1">
        <v>30</v>
      </c>
      <c r="BD17" s="1">
        <v>57</v>
      </c>
      <c r="BE17" s="1">
        <v>11</v>
      </c>
      <c r="BF17" s="1">
        <v>57</v>
      </c>
      <c r="BG17" s="1">
        <v>21</v>
      </c>
      <c r="BH17" s="1">
        <v>19</v>
      </c>
      <c r="BI17" s="1">
        <v>22</v>
      </c>
      <c r="BJ17" s="1">
        <v>62</v>
      </c>
      <c r="BK17" s="1">
        <v>59</v>
      </c>
      <c r="BL17" s="1">
        <v>33</v>
      </c>
      <c r="BM17" s="1">
        <v>67</v>
      </c>
      <c r="BN17" s="1">
        <v>95</v>
      </c>
      <c r="BO17" s="1">
        <v>49</v>
      </c>
      <c r="BP17" s="1">
        <v>4.24</v>
      </c>
      <c r="BQ17" s="1">
        <v>3.34</v>
      </c>
      <c r="BR17" s="1">
        <v>2.95</v>
      </c>
      <c r="BS17" s="1">
        <v>3.51</v>
      </c>
      <c r="BT17" s="1">
        <v>57</v>
      </c>
      <c r="BU17" s="1">
        <v>1</v>
      </c>
      <c r="BV17" s="1">
        <v>45.43</v>
      </c>
      <c r="BW17" s="1">
        <v>4</v>
      </c>
      <c r="BX17" s="1">
        <v>38.04</v>
      </c>
      <c r="BY17" s="1">
        <v>414.71</v>
      </c>
      <c r="BZ17" s="1">
        <v>55.79</v>
      </c>
      <c r="CA17" s="1">
        <v>5.16</v>
      </c>
      <c r="CB17" s="1">
        <v>50.48</v>
      </c>
      <c r="CC17" s="1">
        <v>6.6</v>
      </c>
      <c r="CD17" s="1">
        <v>52.65</v>
      </c>
      <c r="CE17" s="1">
        <v>1.33</v>
      </c>
      <c r="CF17" s="1">
        <v>37.770000000000003</v>
      </c>
      <c r="CG17" s="1">
        <v>1.28</v>
      </c>
      <c r="CH17" s="1">
        <v>53.4</v>
      </c>
      <c r="CI17" s="1">
        <v>0</v>
      </c>
      <c r="CJ17" s="1">
        <v>45.77</v>
      </c>
      <c r="CK17" s="1">
        <v>0.05</v>
      </c>
      <c r="CL17" s="1">
        <v>73.599999999999994</v>
      </c>
      <c r="CM17" s="1">
        <v>0.09</v>
      </c>
      <c r="CN17" s="1">
        <v>73.89</v>
      </c>
      <c r="CO17" s="1">
        <v>0.05</v>
      </c>
      <c r="CP17" s="1">
        <v>52.92</v>
      </c>
      <c r="CQ17" s="1">
        <v>0.18</v>
      </c>
      <c r="CR17" s="1">
        <v>70.12</v>
      </c>
      <c r="CS17" s="1">
        <v>71</v>
      </c>
      <c r="CT17" s="1">
        <v>57</v>
      </c>
      <c r="CU17" s="1">
        <v>79</v>
      </c>
      <c r="CV17" s="1">
        <v>73</v>
      </c>
      <c r="CW17" s="1">
        <v>57</v>
      </c>
      <c r="CX17" s="1">
        <v>64</v>
      </c>
      <c r="CY17" s="1">
        <v>49</v>
      </c>
      <c r="CZ17" s="1">
        <v>72</v>
      </c>
      <c r="DA17" s="1">
        <v>0</v>
      </c>
    </row>
    <row r="18" spans="1:105" x14ac:dyDescent="0.15">
      <c r="A18" s="1" t="s">
        <v>208</v>
      </c>
      <c r="B18" s="1" t="s">
        <v>57</v>
      </c>
      <c r="C18" s="1">
        <v>2</v>
      </c>
      <c r="D18" s="1">
        <v>12</v>
      </c>
      <c r="E18" s="1">
        <v>31</v>
      </c>
      <c r="F18" s="1">
        <v>97</v>
      </c>
      <c r="G18" s="1">
        <v>87</v>
      </c>
      <c r="H18" s="1">
        <v>10</v>
      </c>
      <c r="I18" s="1">
        <v>53</v>
      </c>
      <c r="J18" s="1">
        <v>49</v>
      </c>
      <c r="K18" s="1">
        <v>33</v>
      </c>
      <c r="L18" s="1">
        <v>46</v>
      </c>
      <c r="M18" s="1">
        <v>95</v>
      </c>
      <c r="N18" s="1">
        <v>96</v>
      </c>
      <c r="O18" s="1">
        <v>61</v>
      </c>
      <c r="P18" s="1">
        <v>61</v>
      </c>
      <c r="Q18" s="1">
        <v>28</v>
      </c>
      <c r="R18" s="1">
        <v>53</v>
      </c>
      <c r="S18" s="1">
        <v>114</v>
      </c>
      <c r="T18" s="1">
        <v>110</v>
      </c>
      <c r="U18" s="1">
        <v>209</v>
      </c>
      <c r="V18" s="1">
        <v>104</v>
      </c>
      <c r="W18" s="1">
        <v>120</v>
      </c>
      <c r="X18" s="1">
        <v>39</v>
      </c>
      <c r="Y18" s="1">
        <v>1</v>
      </c>
      <c r="Z18" s="1">
        <v>38</v>
      </c>
      <c r="AA18" s="1">
        <v>12</v>
      </c>
      <c r="AB18" s="1">
        <v>120</v>
      </c>
      <c r="AC18" s="1">
        <v>72</v>
      </c>
      <c r="AD18" s="1">
        <v>10</v>
      </c>
      <c r="AE18" s="1">
        <v>22</v>
      </c>
      <c r="AF18" s="1">
        <v>105</v>
      </c>
      <c r="AG18" s="1">
        <v>22</v>
      </c>
      <c r="AH18" s="1">
        <v>49</v>
      </c>
      <c r="AI18" s="1">
        <v>74</v>
      </c>
      <c r="AJ18" s="1">
        <v>60</v>
      </c>
      <c r="AK18" s="1">
        <v>6</v>
      </c>
      <c r="AL18" s="1">
        <v>7</v>
      </c>
      <c r="AM18" s="1">
        <v>8</v>
      </c>
      <c r="AN18" s="1">
        <v>21</v>
      </c>
      <c r="AO18" s="1">
        <v>35</v>
      </c>
      <c r="AP18" s="1">
        <v>4</v>
      </c>
      <c r="AQ18" s="1">
        <v>20</v>
      </c>
      <c r="AR18" s="1">
        <v>8</v>
      </c>
      <c r="AS18" s="1">
        <v>20</v>
      </c>
      <c r="AT18" s="1">
        <v>22</v>
      </c>
      <c r="AU18" s="1">
        <v>60</v>
      </c>
      <c r="AV18" s="1">
        <v>14</v>
      </c>
      <c r="AW18" s="1">
        <v>40</v>
      </c>
      <c r="AX18" s="1">
        <v>23</v>
      </c>
      <c r="AY18" s="1">
        <v>45</v>
      </c>
      <c r="AZ18" s="1">
        <v>4</v>
      </c>
      <c r="BA18" s="1">
        <v>8</v>
      </c>
      <c r="BB18" s="1">
        <v>12</v>
      </c>
      <c r="BC18" s="1">
        <v>24</v>
      </c>
      <c r="BD18" s="1">
        <v>38</v>
      </c>
      <c r="BE18" s="1">
        <v>12</v>
      </c>
      <c r="BF18" s="1">
        <v>59</v>
      </c>
      <c r="BG18" s="1">
        <v>19</v>
      </c>
      <c r="BH18" s="1">
        <v>13</v>
      </c>
      <c r="BI18" s="1">
        <v>14</v>
      </c>
      <c r="BJ18" s="1">
        <v>46</v>
      </c>
      <c r="BK18" s="1">
        <v>46</v>
      </c>
      <c r="BL18" s="1">
        <v>26</v>
      </c>
      <c r="BM18" s="1">
        <v>53</v>
      </c>
      <c r="BN18" s="1">
        <v>94</v>
      </c>
      <c r="BO18" s="1">
        <v>50</v>
      </c>
      <c r="BP18" s="1">
        <v>1.7000000000000002</v>
      </c>
      <c r="BQ18" s="1">
        <v>2.46</v>
      </c>
      <c r="BR18" s="1">
        <v>1.25</v>
      </c>
      <c r="BS18" s="1">
        <v>1.8</v>
      </c>
      <c r="BT18" s="1">
        <v>29</v>
      </c>
      <c r="BU18" s="1">
        <v>15</v>
      </c>
      <c r="BV18" s="1">
        <v>86.05</v>
      </c>
      <c r="BW18" s="1">
        <v>20</v>
      </c>
      <c r="BX18" s="1">
        <v>57.31</v>
      </c>
      <c r="BY18" s="1">
        <v>319.04000000000002</v>
      </c>
      <c r="BZ18" s="1">
        <v>39.590000000000003</v>
      </c>
      <c r="CA18" s="1">
        <v>6.3</v>
      </c>
      <c r="CB18" s="1">
        <v>55.25</v>
      </c>
      <c r="CC18" s="1">
        <v>8.8699999999999992</v>
      </c>
      <c r="CD18" s="1">
        <v>54.27</v>
      </c>
      <c r="CE18" s="1">
        <v>0.39</v>
      </c>
      <c r="CF18" s="1">
        <v>55.8</v>
      </c>
      <c r="CG18" s="1">
        <v>0.81</v>
      </c>
      <c r="CH18" s="1">
        <v>50.65</v>
      </c>
      <c r="CI18" s="1">
        <v>6</v>
      </c>
      <c r="CJ18" s="1">
        <v>82.78</v>
      </c>
      <c r="CK18" s="1">
        <v>0.02</v>
      </c>
      <c r="CL18" s="1">
        <v>57.76</v>
      </c>
      <c r="CM18" s="1">
        <v>0.09</v>
      </c>
      <c r="CN18" s="1">
        <v>60.76</v>
      </c>
      <c r="CO18" s="1">
        <v>0.06</v>
      </c>
      <c r="CP18" s="1">
        <v>52.65</v>
      </c>
      <c r="CQ18" s="1">
        <v>0.02</v>
      </c>
      <c r="CR18" s="1">
        <v>50.76</v>
      </c>
      <c r="CS18" s="1">
        <v>55</v>
      </c>
      <c r="CT18" s="1">
        <v>29</v>
      </c>
      <c r="CU18" s="1">
        <v>50</v>
      </c>
      <c r="CV18" s="1">
        <v>35</v>
      </c>
      <c r="CW18" s="1">
        <v>38</v>
      </c>
      <c r="CX18" s="1">
        <v>45</v>
      </c>
      <c r="CY18" s="1">
        <v>50</v>
      </c>
      <c r="CZ18" s="1">
        <v>39</v>
      </c>
      <c r="DA18" s="1">
        <v>0</v>
      </c>
    </row>
    <row r="19" spans="1:105" x14ac:dyDescent="0.15">
      <c r="A19" s="1" t="s">
        <v>206</v>
      </c>
      <c r="B19" s="1" t="s">
        <v>210</v>
      </c>
      <c r="C19" s="1">
        <v>1</v>
      </c>
      <c r="D19" s="1">
        <v>13</v>
      </c>
      <c r="E19" s="1">
        <v>39</v>
      </c>
      <c r="F19" s="1">
        <v>109</v>
      </c>
      <c r="G19" s="1">
        <v>105</v>
      </c>
      <c r="H19" s="1">
        <v>4</v>
      </c>
      <c r="I19" s="1">
        <v>59</v>
      </c>
      <c r="J19" s="1">
        <v>52</v>
      </c>
      <c r="K19" s="1">
        <v>37</v>
      </c>
      <c r="L19" s="1">
        <v>53</v>
      </c>
      <c r="M19" s="1">
        <v>105</v>
      </c>
      <c r="N19" s="1">
        <v>104</v>
      </c>
      <c r="O19" s="1">
        <v>56</v>
      </c>
      <c r="P19" s="1">
        <v>59</v>
      </c>
      <c r="Q19" s="1">
        <v>30</v>
      </c>
      <c r="R19" s="1">
        <v>60</v>
      </c>
      <c r="S19" s="1">
        <v>119</v>
      </c>
      <c r="T19" s="1">
        <v>116</v>
      </c>
      <c r="U19" s="1">
        <v>224</v>
      </c>
      <c r="V19" s="1">
        <v>110</v>
      </c>
      <c r="W19" s="1">
        <v>120</v>
      </c>
      <c r="X19" s="1">
        <v>32</v>
      </c>
      <c r="Y19" s="1">
        <v>0</v>
      </c>
      <c r="Z19" s="1">
        <v>32</v>
      </c>
      <c r="AA19" s="1">
        <v>9</v>
      </c>
      <c r="AB19" s="1">
        <v>9999</v>
      </c>
      <c r="AC19" s="1">
        <v>9999</v>
      </c>
      <c r="AD19" s="1">
        <v>9999</v>
      </c>
      <c r="AE19" s="1">
        <v>9999</v>
      </c>
      <c r="AF19" s="1">
        <v>9999</v>
      </c>
      <c r="AG19" s="1">
        <v>13</v>
      </c>
      <c r="AH19" s="1">
        <v>69</v>
      </c>
      <c r="AI19" s="1">
        <v>65</v>
      </c>
      <c r="AJ19" s="1">
        <v>54</v>
      </c>
      <c r="AK19" s="1">
        <v>5</v>
      </c>
      <c r="AL19" s="1">
        <v>7</v>
      </c>
      <c r="AM19" s="1">
        <v>9</v>
      </c>
      <c r="AN19" s="1">
        <v>21</v>
      </c>
      <c r="AO19" s="1">
        <v>36</v>
      </c>
      <c r="AP19" s="1">
        <v>6</v>
      </c>
      <c r="AQ19" s="1">
        <v>28</v>
      </c>
      <c r="AR19" s="1">
        <v>9</v>
      </c>
      <c r="AS19" s="1">
        <v>37</v>
      </c>
      <c r="AT19" s="1">
        <v>23</v>
      </c>
      <c r="AU19" s="1">
        <v>66</v>
      </c>
      <c r="AV19" s="1">
        <v>16</v>
      </c>
      <c r="AW19" s="1">
        <v>47</v>
      </c>
      <c r="AX19" s="1">
        <v>25</v>
      </c>
      <c r="AY19" s="1">
        <v>56</v>
      </c>
      <c r="AZ19" s="1">
        <v>5</v>
      </c>
      <c r="BA19" s="1">
        <v>8</v>
      </c>
      <c r="BB19" s="1">
        <v>9</v>
      </c>
      <c r="BC19" s="1">
        <v>22</v>
      </c>
      <c r="BD19" s="1">
        <v>39</v>
      </c>
      <c r="BE19" s="1">
        <v>10</v>
      </c>
      <c r="BF19" s="1">
        <v>48</v>
      </c>
      <c r="BG19" s="1">
        <v>16</v>
      </c>
      <c r="BH19" s="1">
        <v>17</v>
      </c>
      <c r="BI19" s="1">
        <v>20</v>
      </c>
      <c r="BJ19" s="1">
        <v>53</v>
      </c>
      <c r="BK19" s="1">
        <v>47</v>
      </c>
      <c r="BL19" s="1">
        <v>29</v>
      </c>
      <c r="BM19" s="1">
        <v>59</v>
      </c>
      <c r="BN19" s="1">
        <v>99</v>
      </c>
      <c r="BO19" s="1">
        <v>54</v>
      </c>
      <c r="BP19" s="1">
        <v>4.24</v>
      </c>
      <c r="BQ19" s="1">
        <v>3.34</v>
      </c>
      <c r="BR19" s="1">
        <v>2.34</v>
      </c>
      <c r="BS19" s="1">
        <v>3.31</v>
      </c>
      <c r="BT19" s="1">
        <v>53</v>
      </c>
      <c r="BU19" s="1">
        <v>5</v>
      </c>
      <c r="BV19" s="1">
        <v>55.92</v>
      </c>
      <c r="BW19" s="1">
        <v>13</v>
      </c>
      <c r="BX19" s="1">
        <v>48.31</v>
      </c>
      <c r="BY19" s="1">
        <v>355.25</v>
      </c>
      <c r="BZ19" s="1">
        <v>46.11</v>
      </c>
      <c r="CA19" s="1">
        <v>6.86</v>
      </c>
      <c r="CB19" s="1">
        <v>57.83</v>
      </c>
      <c r="CC19" s="1">
        <v>7.6</v>
      </c>
      <c r="CD19" s="1">
        <v>51.46</v>
      </c>
      <c r="CE19" s="1">
        <v>0.64</v>
      </c>
      <c r="CF19" s="1">
        <v>50.41</v>
      </c>
      <c r="CG19" s="1">
        <v>0.8</v>
      </c>
      <c r="CH19" s="1">
        <v>50.58</v>
      </c>
      <c r="CI19" s="1">
        <v>4</v>
      </c>
      <c r="CJ19" s="1">
        <v>70.03</v>
      </c>
      <c r="CK19" s="1">
        <v>-0.04</v>
      </c>
      <c r="CL19" s="1">
        <v>34.130000000000003</v>
      </c>
      <c r="CM19" s="1">
        <v>-0.02</v>
      </c>
      <c r="CN19" s="1">
        <v>46.68</v>
      </c>
      <c r="CO19" s="1">
        <v>0.11</v>
      </c>
      <c r="CP19" s="1">
        <v>66.319999999999993</v>
      </c>
      <c r="CQ19" s="1">
        <v>0.04</v>
      </c>
      <c r="CR19" s="1">
        <v>51.9</v>
      </c>
      <c r="CS19" s="1">
        <v>64</v>
      </c>
      <c r="CT19" s="1">
        <v>53</v>
      </c>
      <c r="CU19" s="1">
        <v>58</v>
      </c>
      <c r="CV19" s="1">
        <v>36</v>
      </c>
      <c r="CW19" s="1">
        <v>39</v>
      </c>
      <c r="CX19" s="1">
        <v>56</v>
      </c>
      <c r="CY19" s="1">
        <v>54</v>
      </c>
      <c r="CZ19" s="1">
        <v>52</v>
      </c>
      <c r="DA19" s="1">
        <v>0</v>
      </c>
    </row>
    <row r="20" spans="1:105" x14ac:dyDescent="0.15">
      <c r="A20" s="1" t="s">
        <v>212</v>
      </c>
      <c r="B20" s="1" t="s">
        <v>427</v>
      </c>
      <c r="C20" s="1">
        <v>3</v>
      </c>
      <c r="D20" s="1">
        <v>13</v>
      </c>
      <c r="E20" s="1">
        <v>50</v>
      </c>
      <c r="F20" s="1">
        <v>128</v>
      </c>
      <c r="G20" s="1">
        <v>102</v>
      </c>
      <c r="H20" s="1">
        <v>26</v>
      </c>
      <c r="I20" s="1">
        <v>65</v>
      </c>
      <c r="J20" s="1">
        <v>62</v>
      </c>
      <c r="K20" s="1">
        <v>44</v>
      </c>
      <c r="L20" s="1">
        <v>66</v>
      </c>
      <c r="M20" s="1">
        <v>128</v>
      </c>
      <c r="N20" s="1">
        <v>123</v>
      </c>
      <c r="O20" s="1">
        <v>67</v>
      </c>
      <c r="P20" s="1">
        <v>65</v>
      </c>
      <c r="Q20" s="1">
        <v>31</v>
      </c>
      <c r="R20" s="1">
        <v>61</v>
      </c>
      <c r="S20" s="1">
        <v>126</v>
      </c>
      <c r="T20" s="1">
        <v>123</v>
      </c>
      <c r="U20" s="1">
        <v>254</v>
      </c>
      <c r="V20" s="1">
        <v>126</v>
      </c>
      <c r="W20" s="1">
        <v>120</v>
      </c>
      <c r="X20" s="1">
        <v>42</v>
      </c>
      <c r="Y20" s="1">
        <v>3</v>
      </c>
      <c r="Z20" s="1">
        <v>39</v>
      </c>
      <c r="AA20" s="1">
        <v>12</v>
      </c>
      <c r="AB20" s="1">
        <v>120</v>
      </c>
      <c r="AC20" s="1">
        <v>77</v>
      </c>
      <c r="AD20" s="1">
        <v>11</v>
      </c>
      <c r="AE20" s="1">
        <v>23</v>
      </c>
      <c r="AF20" s="1">
        <v>108</v>
      </c>
      <c r="AG20" s="1">
        <v>6</v>
      </c>
      <c r="AH20" s="1">
        <v>92</v>
      </c>
      <c r="AI20" s="1">
        <v>60</v>
      </c>
      <c r="AJ20" s="1">
        <v>46</v>
      </c>
      <c r="AK20" s="1">
        <v>8</v>
      </c>
      <c r="AL20" s="1">
        <v>9</v>
      </c>
      <c r="AM20" s="1">
        <v>11</v>
      </c>
      <c r="AN20" s="1">
        <v>28</v>
      </c>
      <c r="AO20" s="1">
        <v>48</v>
      </c>
      <c r="AP20" s="1">
        <v>9</v>
      </c>
      <c r="AQ20" s="1">
        <v>42</v>
      </c>
      <c r="AR20" s="1">
        <v>11</v>
      </c>
      <c r="AS20" s="1">
        <v>43</v>
      </c>
      <c r="AT20" s="1">
        <v>18</v>
      </c>
      <c r="AU20" s="1">
        <v>48</v>
      </c>
      <c r="AV20" s="1">
        <v>19</v>
      </c>
      <c r="AW20" s="1">
        <v>55</v>
      </c>
      <c r="AX20" s="1">
        <v>26</v>
      </c>
      <c r="AY20" s="1">
        <v>57</v>
      </c>
      <c r="AZ20" s="1">
        <v>6</v>
      </c>
      <c r="BA20" s="1">
        <v>9</v>
      </c>
      <c r="BB20" s="1">
        <v>8</v>
      </c>
      <c r="BC20" s="1">
        <v>23</v>
      </c>
      <c r="BD20" s="1">
        <v>37</v>
      </c>
      <c r="BE20" s="1">
        <v>9</v>
      </c>
      <c r="BF20" s="1">
        <v>37</v>
      </c>
      <c r="BG20" s="1">
        <v>16</v>
      </c>
      <c r="BH20" s="1">
        <v>15</v>
      </c>
      <c r="BI20" s="1">
        <v>11</v>
      </c>
      <c r="BJ20" s="1">
        <v>42</v>
      </c>
      <c r="BK20" s="1">
        <v>43</v>
      </c>
      <c r="BL20" s="1">
        <v>21</v>
      </c>
      <c r="BM20" s="1">
        <v>44</v>
      </c>
      <c r="BN20" s="1">
        <v>94</v>
      </c>
      <c r="BO20" s="1">
        <v>50</v>
      </c>
      <c r="BP20" s="1">
        <v>3.34</v>
      </c>
      <c r="BQ20" s="1">
        <v>1.81</v>
      </c>
      <c r="BR20" s="1">
        <v>1.64</v>
      </c>
      <c r="BS20" s="1">
        <v>2.2599999999999998</v>
      </c>
      <c r="BT20" s="1">
        <v>36</v>
      </c>
      <c r="BU20" s="1">
        <v>1</v>
      </c>
      <c r="BV20" s="1">
        <v>43.86</v>
      </c>
      <c r="BW20" s="1">
        <v>13</v>
      </c>
      <c r="BX20" s="1">
        <v>48.79</v>
      </c>
      <c r="BY20" s="1">
        <v>328.88</v>
      </c>
      <c r="BZ20" s="1">
        <v>41.43</v>
      </c>
      <c r="CA20" s="1">
        <v>4.21</v>
      </c>
      <c r="CB20" s="1">
        <v>43.2</v>
      </c>
      <c r="CC20" s="1">
        <v>6.86</v>
      </c>
      <c r="CD20" s="1">
        <v>49.59</v>
      </c>
      <c r="CE20" s="1">
        <v>0.5</v>
      </c>
      <c r="CF20" s="1">
        <v>53.47</v>
      </c>
      <c r="CG20" s="1">
        <v>0</v>
      </c>
      <c r="CH20" s="1">
        <v>41.87</v>
      </c>
      <c r="CI20" s="1">
        <v>0</v>
      </c>
      <c r="CJ20" s="1">
        <v>44.54</v>
      </c>
      <c r="CK20" s="1">
        <v>0</v>
      </c>
      <c r="CL20" s="1">
        <v>48.84</v>
      </c>
      <c r="CM20" s="1">
        <v>0.04</v>
      </c>
      <c r="CN20" s="1">
        <v>54.15</v>
      </c>
      <c r="CO20" s="1">
        <v>0.02</v>
      </c>
      <c r="CP20" s="1">
        <v>39.75</v>
      </c>
      <c r="CQ20" s="1">
        <v>0.12</v>
      </c>
      <c r="CR20" s="1">
        <v>59.57</v>
      </c>
      <c r="CS20" s="1">
        <v>64</v>
      </c>
      <c r="CT20" s="1">
        <v>36</v>
      </c>
      <c r="CU20" s="1">
        <v>52</v>
      </c>
      <c r="CV20" s="1">
        <v>48</v>
      </c>
      <c r="CW20" s="1">
        <v>37</v>
      </c>
      <c r="CX20" s="1">
        <v>57</v>
      </c>
      <c r="CY20" s="1">
        <v>50</v>
      </c>
      <c r="CZ20" s="1">
        <v>48</v>
      </c>
      <c r="DA20" s="1">
        <v>0</v>
      </c>
    </row>
    <row r="21" spans="1:105" x14ac:dyDescent="0.15">
      <c r="A21" s="1" t="s">
        <v>209</v>
      </c>
      <c r="B21" s="1" t="s">
        <v>428</v>
      </c>
      <c r="C21" s="1">
        <v>1</v>
      </c>
      <c r="D21" s="1">
        <v>13</v>
      </c>
      <c r="E21" s="1">
        <v>36</v>
      </c>
      <c r="F21" s="1">
        <v>104</v>
      </c>
      <c r="G21" s="1">
        <v>105</v>
      </c>
      <c r="H21" s="1">
        <v>-1</v>
      </c>
      <c r="I21" s="1">
        <v>65</v>
      </c>
      <c r="J21" s="1">
        <v>57</v>
      </c>
      <c r="K21" s="1">
        <v>43</v>
      </c>
      <c r="L21" s="1">
        <v>62</v>
      </c>
      <c r="M21" s="1">
        <v>119</v>
      </c>
      <c r="N21" s="1">
        <v>115</v>
      </c>
      <c r="O21" s="1">
        <v>49</v>
      </c>
      <c r="P21" s="1">
        <v>57</v>
      </c>
      <c r="Q21" s="1">
        <v>28</v>
      </c>
      <c r="R21" s="1">
        <v>61</v>
      </c>
      <c r="S21" s="1">
        <v>118</v>
      </c>
      <c r="T21" s="1">
        <v>115</v>
      </c>
      <c r="U21" s="1">
        <v>237</v>
      </c>
      <c r="V21" s="1">
        <v>117</v>
      </c>
      <c r="W21" s="1">
        <v>120</v>
      </c>
      <c r="X21" s="1">
        <v>23</v>
      </c>
      <c r="Y21" s="1">
        <v>0</v>
      </c>
      <c r="Z21" s="1">
        <v>23</v>
      </c>
      <c r="AA21" s="1">
        <v>7</v>
      </c>
      <c r="AB21" s="1">
        <v>120</v>
      </c>
      <c r="AC21" s="1">
        <v>61</v>
      </c>
      <c r="AD21" s="1">
        <v>9</v>
      </c>
      <c r="AE21" s="1">
        <v>16</v>
      </c>
      <c r="AF21" s="1">
        <v>89</v>
      </c>
      <c r="AG21" s="1">
        <v>17</v>
      </c>
      <c r="AH21" s="1">
        <v>65</v>
      </c>
      <c r="AI21" s="1">
        <v>47</v>
      </c>
      <c r="AJ21" s="1">
        <v>43</v>
      </c>
      <c r="AK21" s="1">
        <v>7</v>
      </c>
      <c r="AL21" s="1">
        <v>9</v>
      </c>
      <c r="AM21" s="1">
        <v>11</v>
      </c>
      <c r="AN21" s="1">
        <v>27</v>
      </c>
      <c r="AO21" s="1">
        <v>48</v>
      </c>
      <c r="AP21" s="1">
        <v>9</v>
      </c>
      <c r="AQ21" s="1">
        <v>44</v>
      </c>
      <c r="AR21" s="1">
        <v>11</v>
      </c>
      <c r="AS21" s="1">
        <v>49</v>
      </c>
      <c r="AT21" s="1">
        <v>19</v>
      </c>
      <c r="AU21" s="1">
        <v>58</v>
      </c>
      <c r="AV21" s="1">
        <v>19</v>
      </c>
      <c r="AW21" s="1">
        <v>58</v>
      </c>
      <c r="AX21" s="1">
        <v>23</v>
      </c>
      <c r="AY21" s="1">
        <v>57</v>
      </c>
      <c r="AZ21" s="1">
        <v>3</v>
      </c>
      <c r="BA21" s="1">
        <v>6</v>
      </c>
      <c r="BB21" s="1">
        <v>9</v>
      </c>
      <c r="BC21" s="1">
        <v>18</v>
      </c>
      <c r="BD21" s="1">
        <v>41</v>
      </c>
      <c r="BE21" s="1">
        <v>10</v>
      </c>
      <c r="BF21" s="1">
        <v>54</v>
      </c>
      <c r="BG21" s="1">
        <v>8</v>
      </c>
      <c r="BH21" s="1">
        <v>10</v>
      </c>
      <c r="BI21" s="1">
        <v>19</v>
      </c>
      <c r="BJ21" s="1">
        <v>37</v>
      </c>
      <c r="BK21" s="1">
        <v>41</v>
      </c>
      <c r="BL21" s="1">
        <v>30</v>
      </c>
      <c r="BM21" s="1">
        <v>62</v>
      </c>
      <c r="BN21" s="1">
        <v>102</v>
      </c>
      <c r="BO21" s="1">
        <v>55</v>
      </c>
      <c r="BP21" s="1">
        <v>4.24</v>
      </c>
      <c r="BQ21" s="1">
        <v>4.24</v>
      </c>
      <c r="BR21" s="1">
        <v>1.25</v>
      </c>
      <c r="BS21" s="1">
        <v>3.24</v>
      </c>
      <c r="BT21" s="1">
        <v>54</v>
      </c>
      <c r="BU21" s="1">
        <v>2</v>
      </c>
      <c r="BV21" s="1">
        <v>47.93</v>
      </c>
      <c r="BW21" s="1">
        <v>4</v>
      </c>
      <c r="BX21" s="1">
        <v>39.869999999999997</v>
      </c>
      <c r="BY21" s="1">
        <v>456.54</v>
      </c>
      <c r="BZ21" s="1">
        <v>57.07</v>
      </c>
      <c r="CA21" s="1">
        <v>9.65</v>
      </c>
      <c r="CB21" s="1">
        <v>75.489999999999995</v>
      </c>
      <c r="CC21" s="1">
        <v>25.85</v>
      </c>
      <c r="CD21" s="1">
        <v>75.569999999999993</v>
      </c>
      <c r="CE21" s="1">
        <v>1.32</v>
      </c>
      <c r="CF21" s="1">
        <v>39.6</v>
      </c>
      <c r="CG21" s="1">
        <v>1.65</v>
      </c>
      <c r="CH21" s="1">
        <v>59.75</v>
      </c>
      <c r="CI21" s="1">
        <v>0</v>
      </c>
      <c r="CJ21" s="1">
        <v>45.52</v>
      </c>
      <c r="CK21" s="1">
        <v>0.02</v>
      </c>
      <c r="CL21" s="1">
        <v>57.64</v>
      </c>
      <c r="CM21" s="1">
        <v>0.19</v>
      </c>
      <c r="CN21" s="1">
        <v>77.78</v>
      </c>
      <c r="CO21" s="1">
        <v>0.12</v>
      </c>
      <c r="CP21" s="1">
        <v>81.09</v>
      </c>
      <c r="CQ21" s="1">
        <v>0.47</v>
      </c>
      <c r="CR21" s="1">
        <v>103.13</v>
      </c>
      <c r="CS21" s="1">
        <v>59</v>
      </c>
      <c r="CT21" s="1">
        <v>54</v>
      </c>
      <c r="CU21" s="1">
        <v>60</v>
      </c>
      <c r="CV21" s="1">
        <v>48</v>
      </c>
      <c r="CW21" s="1">
        <v>41</v>
      </c>
      <c r="CX21" s="1">
        <v>57</v>
      </c>
      <c r="CY21" s="1">
        <v>55</v>
      </c>
      <c r="CZ21" s="1">
        <v>55</v>
      </c>
      <c r="DA21" s="1">
        <v>0</v>
      </c>
    </row>
    <row r="22" spans="1:105" x14ac:dyDescent="0.15">
      <c r="A22" s="1" t="s">
        <v>214</v>
      </c>
      <c r="B22" s="1" t="s">
        <v>217</v>
      </c>
      <c r="C22" s="1">
        <v>1</v>
      </c>
      <c r="D22" s="1">
        <v>16</v>
      </c>
      <c r="E22" s="1">
        <v>48</v>
      </c>
      <c r="F22" s="1">
        <v>122</v>
      </c>
      <c r="G22" s="1">
        <v>111</v>
      </c>
      <c r="H22" s="1">
        <v>11</v>
      </c>
      <c r="I22" s="1">
        <v>69</v>
      </c>
      <c r="J22" s="1">
        <v>62</v>
      </c>
      <c r="K22" s="1">
        <v>46</v>
      </c>
      <c r="L22" s="1">
        <v>67</v>
      </c>
      <c r="M22" s="1">
        <v>129</v>
      </c>
      <c r="N22" s="1">
        <v>125</v>
      </c>
      <c r="O22" s="1">
        <v>69</v>
      </c>
      <c r="P22" s="1">
        <v>70</v>
      </c>
      <c r="Q22" s="1">
        <v>32</v>
      </c>
      <c r="R22" s="1">
        <v>66</v>
      </c>
      <c r="S22" s="1">
        <v>136</v>
      </c>
      <c r="T22" s="1">
        <v>133</v>
      </c>
      <c r="U22" s="1">
        <v>265</v>
      </c>
      <c r="V22" s="1">
        <v>133</v>
      </c>
      <c r="W22" s="1">
        <v>120</v>
      </c>
      <c r="X22" s="1">
        <v>25</v>
      </c>
      <c r="Y22" s="1">
        <v>0</v>
      </c>
      <c r="Z22" s="1">
        <v>25</v>
      </c>
      <c r="AA22" s="1">
        <v>7</v>
      </c>
      <c r="AB22" s="1">
        <v>120</v>
      </c>
      <c r="AC22" s="1">
        <v>69</v>
      </c>
      <c r="AD22" s="1">
        <v>10</v>
      </c>
      <c r="AE22" s="1">
        <v>17</v>
      </c>
      <c r="AF22" s="1">
        <v>92</v>
      </c>
      <c r="AG22" s="1">
        <v>18</v>
      </c>
      <c r="AH22" s="1">
        <v>62</v>
      </c>
      <c r="AI22" s="1">
        <v>60</v>
      </c>
      <c r="AJ22" s="1">
        <v>56</v>
      </c>
      <c r="AK22" s="1">
        <v>4</v>
      </c>
      <c r="AL22" s="1">
        <v>8</v>
      </c>
      <c r="AM22" s="1">
        <v>12</v>
      </c>
      <c r="AN22" s="1">
        <v>24</v>
      </c>
      <c r="AO22" s="1">
        <v>42</v>
      </c>
      <c r="AP22" s="1">
        <v>11</v>
      </c>
      <c r="AQ22" s="1">
        <v>54</v>
      </c>
      <c r="AR22" s="1">
        <v>10</v>
      </c>
      <c r="AS22" s="1">
        <v>41</v>
      </c>
      <c r="AT22" s="1">
        <v>19</v>
      </c>
      <c r="AU22" s="1">
        <v>57</v>
      </c>
      <c r="AV22" s="1">
        <v>22</v>
      </c>
      <c r="AW22" s="1">
        <v>67</v>
      </c>
      <c r="AX22" s="1">
        <v>23</v>
      </c>
      <c r="AY22" s="1">
        <v>56</v>
      </c>
      <c r="AZ22" s="1">
        <v>3</v>
      </c>
      <c r="BA22" s="1">
        <v>7</v>
      </c>
      <c r="BB22" s="1">
        <v>9</v>
      </c>
      <c r="BC22" s="1">
        <v>19</v>
      </c>
      <c r="BD22" s="1">
        <v>41</v>
      </c>
      <c r="BE22" s="1">
        <v>9</v>
      </c>
      <c r="BF22" s="1">
        <v>48</v>
      </c>
      <c r="BG22" s="1">
        <v>12</v>
      </c>
      <c r="BH22" s="1">
        <v>12</v>
      </c>
      <c r="BI22" s="1">
        <v>16</v>
      </c>
      <c r="BJ22" s="1">
        <v>40</v>
      </c>
      <c r="BK22" s="1">
        <v>37</v>
      </c>
      <c r="BL22" s="1">
        <v>21</v>
      </c>
      <c r="BM22" s="1">
        <v>46</v>
      </c>
      <c r="BN22" s="1">
        <v>94</v>
      </c>
      <c r="BO22" s="1">
        <v>47</v>
      </c>
      <c r="BP22" s="1">
        <v>3.96</v>
      </c>
      <c r="BQ22" s="1">
        <v>3.68</v>
      </c>
      <c r="BR22" s="1">
        <v>2.36</v>
      </c>
      <c r="BS22" s="1">
        <v>3.33</v>
      </c>
      <c r="BT22" s="1">
        <v>55</v>
      </c>
      <c r="BU22" s="1">
        <v>0</v>
      </c>
      <c r="BV22" s="1">
        <v>42.1</v>
      </c>
      <c r="BW22" s="1">
        <v>8</v>
      </c>
      <c r="BX22" s="1">
        <v>42.69</v>
      </c>
      <c r="BY22" s="1">
        <v>387.98</v>
      </c>
      <c r="BZ22" s="1">
        <v>50.52</v>
      </c>
      <c r="CA22" s="1">
        <v>4.9000000000000004</v>
      </c>
      <c r="CB22" s="1">
        <v>48.5</v>
      </c>
      <c r="CC22" s="1">
        <v>5.1100000000000003</v>
      </c>
      <c r="CD22" s="1">
        <v>46.15</v>
      </c>
      <c r="CE22" s="1">
        <v>0.99</v>
      </c>
      <c r="CF22" s="1">
        <v>44.42</v>
      </c>
      <c r="CG22" s="1">
        <v>0</v>
      </c>
      <c r="CH22" s="1">
        <v>44.29</v>
      </c>
      <c r="CI22" s="1">
        <v>0</v>
      </c>
      <c r="CJ22" s="1">
        <v>45.77</v>
      </c>
      <c r="CK22" s="1">
        <v>0</v>
      </c>
      <c r="CL22" s="1">
        <v>49.66</v>
      </c>
      <c r="CM22" s="1">
        <v>-7.0000000000000007E-2</v>
      </c>
      <c r="CN22" s="1">
        <v>44.45</v>
      </c>
      <c r="CO22" s="1">
        <v>7.0000000000000007E-2</v>
      </c>
      <c r="CP22" s="1">
        <v>58.6</v>
      </c>
      <c r="CQ22" s="1">
        <v>0.01</v>
      </c>
      <c r="CR22" s="1">
        <v>51.6</v>
      </c>
      <c r="CS22" s="1">
        <v>56</v>
      </c>
      <c r="CT22" s="1">
        <v>55</v>
      </c>
      <c r="CU22" s="1">
        <v>64</v>
      </c>
      <c r="CV22" s="1">
        <v>42</v>
      </c>
      <c r="CW22" s="1">
        <v>41</v>
      </c>
      <c r="CX22" s="1">
        <v>56</v>
      </c>
      <c r="CY22" s="1">
        <v>47</v>
      </c>
      <c r="CZ22" s="1">
        <v>52</v>
      </c>
      <c r="DA22" s="1">
        <v>0</v>
      </c>
    </row>
    <row r="23" spans="1:105" x14ac:dyDescent="0.15">
      <c r="A23" s="1" t="s">
        <v>216</v>
      </c>
      <c r="B23" s="1" t="s">
        <v>429</v>
      </c>
      <c r="C23" s="1">
        <v>1</v>
      </c>
      <c r="D23" s="1">
        <v>14</v>
      </c>
      <c r="E23" s="1">
        <v>50</v>
      </c>
      <c r="F23" s="1">
        <v>125</v>
      </c>
      <c r="G23" s="1">
        <v>105</v>
      </c>
      <c r="H23" s="1">
        <v>20</v>
      </c>
      <c r="I23" s="1">
        <v>66</v>
      </c>
      <c r="J23" s="1">
        <v>58</v>
      </c>
      <c r="K23" s="1">
        <v>43</v>
      </c>
      <c r="L23" s="1">
        <v>62</v>
      </c>
      <c r="M23" s="1">
        <v>120</v>
      </c>
      <c r="N23" s="1">
        <v>116</v>
      </c>
      <c r="O23" s="1">
        <v>60</v>
      </c>
      <c r="P23" s="1">
        <v>63</v>
      </c>
      <c r="Q23" s="1">
        <v>33</v>
      </c>
      <c r="R23" s="1">
        <v>68</v>
      </c>
      <c r="S23" s="1">
        <v>131</v>
      </c>
      <c r="T23" s="1">
        <v>128</v>
      </c>
      <c r="U23" s="1">
        <v>251</v>
      </c>
      <c r="V23" s="1">
        <v>125</v>
      </c>
      <c r="W23" s="1">
        <v>120</v>
      </c>
      <c r="X23" s="1">
        <v>24</v>
      </c>
      <c r="Y23" s="1">
        <v>0</v>
      </c>
      <c r="Z23" s="1">
        <v>24</v>
      </c>
      <c r="AA23" s="1">
        <v>7</v>
      </c>
      <c r="AB23" s="1">
        <v>120</v>
      </c>
      <c r="AC23" s="1">
        <v>60</v>
      </c>
      <c r="AD23" s="1">
        <v>8</v>
      </c>
      <c r="AE23" s="1">
        <v>15</v>
      </c>
      <c r="AF23" s="1">
        <v>86</v>
      </c>
      <c r="AG23" s="1">
        <v>26</v>
      </c>
      <c r="AH23" s="1">
        <v>49</v>
      </c>
      <c r="AI23" s="1">
        <v>56</v>
      </c>
      <c r="AJ23" s="1">
        <v>45</v>
      </c>
      <c r="AK23" s="1">
        <v>12</v>
      </c>
      <c r="AL23" s="1">
        <v>12</v>
      </c>
      <c r="AM23" s="1">
        <v>12</v>
      </c>
      <c r="AN23" s="1">
        <v>36</v>
      </c>
      <c r="AO23" s="1">
        <v>77</v>
      </c>
      <c r="AP23" s="1">
        <v>12</v>
      </c>
      <c r="AQ23" s="1">
        <v>60</v>
      </c>
      <c r="AR23" s="1">
        <v>12</v>
      </c>
      <c r="AS23" s="1">
        <v>58</v>
      </c>
      <c r="AT23" s="1">
        <v>19</v>
      </c>
      <c r="AU23" s="1">
        <v>59</v>
      </c>
      <c r="AV23" s="1">
        <v>18</v>
      </c>
      <c r="AW23" s="1">
        <v>57</v>
      </c>
      <c r="AX23" s="1">
        <v>20</v>
      </c>
      <c r="AY23" s="1">
        <v>48</v>
      </c>
      <c r="AZ23" s="1">
        <v>9</v>
      </c>
      <c r="BA23" s="1">
        <v>11</v>
      </c>
      <c r="BB23" s="1">
        <v>11</v>
      </c>
      <c r="BC23" s="1">
        <v>31</v>
      </c>
      <c r="BD23" s="1">
        <v>58</v>
      </c>
      <c r="BE23" s="1">
        <v>10</v>
      </c>
      <c r="BF23" s="1">
        <v>51</v>
      </c>
      <c r="BG23" s="1">
        <v>17</v>
      </c>
      <c r="BH23" s="1">
        <v>16</v>
      </c>
      <c r="BI23" s="1">
        <v>19</v>
      </c>
      <c r="BJ23" s="1">
        <v>52</v>
      </c>
      <c r="BK23" s="1">
        <v>48</v>
      </c>
      <c r="BL23" s="1">
        <v>29</v>
      </c>
      <c r="BM23" s="1">
        <v>60</v>
      </c>
      <c r="BN23" s="1">
        <v>95</v>
      </c>
      <c r="BO23" s="1">
        <v>48</v>
      </c>
      <c r="BP23" s="1">
        <v>3.96</v>
      </c>
      <c r="BQ23" s="1">
        <v>1.81</v>
      </c>
      <c r="BR23" s="1">
        <v>1.35</v>
      </c>
      <c r="BS23" s="1">
        <v>2.37</v>
      </c>
      <c r="BT23" s="1">
        <v>41</v>
      </c>
      <c r="BU23" s="1">
        <v>3</v>
      </c>
      <c r="BV23" s="1">
        <v>54.26</v>
      </c>
      <c r="BW23" s="1">
        <v>7</v>
      </c>
      <c r="BX23" s="1">
        <v>44.97</v>
      </c>
      <c r="BY23" s="1">
        <v>531.76</v>
      </c>
      <c r="BZ23" s="1">
        <v>71.819999999999993</v>
      </c>
      <c r="CA23" s="1">
        <v>10.06</v>
      </c>
      <c r="CB23" s="1">
        <v>75.47</v>
      </c>
      <c r="CC23" s="1">
        <v>14.29</v>
      </c>
      <c r="CD23" s="1">
        <v>68.28</v>
      </c>
      <c r="CE23" s="1">
        <v>1.1200000000000001</v>
      </c>
      <c r="CF23" s="1">
        <v>44.3</v>
      </c>
      <c r="CG23" s="1">
        <v>0</v>
      </c>
      <c r="CH23" s="1">
        <v>41.54</v>
      </c>
      <c r="CI23" s="1">
        <v>1</v>
      </c>
      <c r="CJ23" s="1">
        <v>65.650000000000006</v>
      </c>
      <c r="CK23" s="1">
        <v>-0.01</v>
      </c>
      <c r="CL23" s="1">
        <v>44.2</v>
      </c>
      <c r="CM23" s="1">
        <v>-0.08</v>
      </c>
      <c r="CN23" s="1">
        <v>41.55</v>
      </c>
      <c r="CO23" s="1">
        <v>0.01</v>
      </c>
      <c r="CP23" s="1">
        <v>37.04</v>
      </c>
      <c r="CQ23" s="1">
        <v>-0.04</v>
      </c>
      <c r="CR23" s="1">
        <v>45.45</v>
      </c>
      <c r="CS23" s="1">
        <v>52</v>
      </c>
      <c r="CT23" s="1">
        <v>41</v>
      </c>
      <c r="CU23" s="1">
        <v>60</v>
      </c>
      <c r="CV23" s="1">
        <v>77</v>
      </c>
      <c r="CW23" s="1">
        <v>58</v>
      </c>
      <c r="CX23" s="1">
        <v>48</v>
      </c>
      <c r="CY23" s="1">
        <v>48</v>
      </c>
      <c r="CZ23" s="1">
        <v>57</v>
      </c>
      <c r="DA23" s="1">
        <v>0</v>
      </c>
    </row>
    <row r="24" spans="1:105" x14ac:dyDescent="0.15">
      <c r="A24" s="1" t="s">
        <v>218</v>
      </c>
      <c r="B24" s="1" t="s">
        <v>222</v>
      </c>
      <c r="C24" s="1">
        <v>1</v>
      </c>
      <c r="D24" s="1">
        <v>13</v>
      </c>
      <c r="E24" s="1">
        <v>41</v>
      </c>
      <c r="F24" s="1">
        <v>113</v>
      </c>
      <c r="G24" s="1">
        <v>105</v>
      </c>
      <c r="H24" s="1">
        <v>8</v>
      </c>
      <c r="I24" s="1">
        <v>63</v>
      </c>
      <c r="J24" s="1">
        <v>57</v>
      </c>
      <c r="K24" s="1">
        <v>33</v>
      </c>
      <c r="L24" s="1">
        <v>46</v>
      </c>
      <c r="M24" s="1">
        <v>103</v>
      </c>
      <c r="N24" s="1">
        <v>102</v>
      </c>
      <c r="O24" s="1">
        <v>70</v>
      </c>
      <c r="P24" s="1">
        <v>69</v>
      </c>
      <c r="Q24" s="1">
        <v>32</v>
      </c>
      <c r="R24" s="1">
        <v>64</v>
      </c>
      <c r="S24" s="1">
        <v>133</v>
      </c>
      <c r="T24" s="1">
        <v>129</v>
      </c>
      <c r="U24" s="1">
        <v>236</v>
      </c>
      <c r="V24" s="1">
        <v>116</v>
      </c>
      <c r="W24" s="1">
        <v>120</v>
      </c>
      <c r="X24" s="1">
        <v>26</v>
      </c>
      <c r="Y24" s="1">
        <v>0</v>
      </c>
      <c r="Z24" s="1">
        <v>26</v>
      </c>
      <c r="AA24" s="1">
        <v>7</v>
      </c>
      <c r="AB24" s="1">
        <v>120</v>
      </c>
      <c r="AC24" s="1">
        <v>92</v>
      </c>
      <c r="AD24" s="1">
        <v>14</v>
      </c>
      <c r="AE24" s="1">
        <v>21</v>
      </c>
      <c r="AF24" s="1">
        <v>102</v>
      </c>
      <c r="AG24" s="1">
        <v>20</v>
      </c>
      <c r="AH24" s="1">
        <v>54</v>
      </c>
      <c r="AI24" s="1">
        <v>78</v>
      </c>
      <c r="AJ24" s="1">
        <v>67</v>
      </c>
      <c r="AK24" s="1">
        <v>9</v>
      </c>
      <c r="AL24" s="1">
        <v>12</v>
      </c>
      <c r="AM24" s="1">
        <v>12</v>
      </c>
      <c r="AN24" s="1">
        <v>33</v>
      </c>
      <c r="AO24" s="1">
        <v>63</v>
      </c>
      <c r="AP24" s="1">
        <v>11</v>
      </c>
      <c r="AQ24" s="1">
        <v>53</v>
      </c>
      <c r="AR24" s="1">
        <v>12</v>
      </c>
      <c r="AS24" s="1">
        <v>58</v>
      </c>
      <c r="AT24" s="1">
        <v>18</v>
      </c>
      <c r="AU24" s="1">
        <v>49</v>
      </c>
      <c r="AV24" s="1">
        <v>18</v>
      </c>
      <c r="AW24" s="1">
        <v>53</v>
      </c>
      <c r="AX24" s="1">
        <v>25</v>
      </c>
      <c r="AY24" s="1">
        <v>55</v>
      </c>
      <c r="AZ24" s="1">
        <v>9</v>
      </c>
      <c r="BA24" s="1">
        <v>9</v>
      </c>
      <c r="BB24" s="1">
        <v>10</v>
      </c>
      <c r="BC24" s="1">
        <v>28</v>
      </c>
      <c r="BD24" s="1">
        <v>49</v>
      </c>
      <c r="BE24" s="1">
        <v>10</v>
      </c>
      <c r="BF24" s="1">
        <v>47</v>
      </c>
      <c r="BG24" s="1">
        <v>16</v>
      </c>
      <c r="BH24" s="1">
        <v>12</v>
      </c>
      <c r="BI24" s="1">
        <v>14</v>
      </c>
      <c r="BJ24" s="1">
        <v>42</v>
      </c>
      <c r="BK24" s="1">
        <v>43</v>
      </c>
      <c r="BL24" s="1">
        <v>23</v>
      </c>
      <c r="BM24" s="1">
        <v>48</v>
      </c>
      <c r="BN24" s="1">
        <v>96</v>
      </c>
      <c r="BO24" s="1">
        <v>51</v>
      </c>
      <c r="BP24" s="1">
        <v>4.24</v>
      </c>
      <c r="BQ24" s="1">
        <v>3.09</v>
      </c>
      <c r="BR24" s="1">
        <v>1.9500000000000002</v>
      </c>
      <c r="BS24" s="1">
        <v>3.09</v>
      </c>
      <c r="BT24" s="1">
        <v>49</v>
      </c>
      <c r="BU24" s="1">
        <v>1</v>
      </c>
      <c r="BV24" s="1">
        <v>43.87</v>
      </c>
      <c r="BW24" s="1">
        <v>12</v>
      </c>
      <c r="BX24" s="1">
        <v>47.03</v>
      </c>
      <c r="BY24" s="1">
        <v>283.14999999999998</v>
      </c>
      <c r="BZ24" s="1">
        <v>32.33</v>
      </c>
      <c r="CA24" s="1">
        <v>2.86</v>
      </c>
      <c r="CB24" s="1">
        <v>31.62</v>
      </c>
      <c r="CC24" s="1">
        <v>4.08</v>
      </c>
      <c r="CD24" s="1">
        <v>40.07</v>
      </c>
      <c r="CE24" s="1">
        <v>0.66</v>
      </c>
      <c r="CF24" s="1">
        <v>49.87</v>
      </c>
      <c r="CG24" s="1">
        <v>0.01</v>
      </c>
      <c r="CH24" s="1">
        <v>41.99</v>
      </c>
      <c r="CI24" s="1">
        <v>0</v>
      </c>
      <c r="CJ24" s="1">
        <v>44.54</v>
      </c>
      <c r="CK24" s="1">
        <v>-0.01</v>
      </c>
      <c r="CL24" s="1">
        <v>47.06</v>
      </c>
      <c r="CM24" s="1">
        <v>0.03</v>
      </c>
      <c r="CN24" s="1">
        <v>53.53</v>
      </c>
      <c r="CO24" s="1">
        <v>0.01</v>
      </c>
      <c r="CP24" s="1">
        <v>36.119999999999997</v>
      </c>
      <c r="CQ24" s="1">
        <v>0.01</v>
      </c>
      <c r="CR24" s="1">
        <v>49.83</v>
      </c>
      <c r="CS24" s="1">
        <v>58</v>
      </c>
      <c r="CT24" s="1">
        <v>49</v>
      </c>
      <c r="CU24" s="1">
        <v>52</v>
      </c>
      <c r="CV24" s="1">
        <v>63</v>
      </c>
      <c r="CW24" s="1">
        <v>49</v>
      </c>
      <c r="CX24" s="1">
        <v>55</v>
      </c>
      <c r="CY24" s="1">
        <v>51</v>
      </c>
      <c r="CZ24" s="1">
        <v>56</v>
      </c>
      <c r="DA24" s="1">
        <v>0</v>
      </c>
    </row>
    <row r="25" spans="1:105" x14ac:dyDescent="0.15">
      <c r="A25" s="1" t="s">
        <v>220</v>
      </c>
      <c r="B25" s="1" t="s">
        <v>430</v>
      </c>
      <c r="C25" s="1">
        <v>3</v>
      </c>
      <c r="D25" s="1">
        <v>17</v>
      </c>
      <c r="E25" s="1">
        <v>39</v>
      </c>
      <c r="F25" s="1">
        <v>109</v>
      </c>
      <c r="G25" s="1">
        <v>109</v>
      </c>
      <c r="H25" s="1">
        <v>0</v>
      </c>
      <c r="I25" s="1">
        <v>64</v>
      </c>
      <c r="J25" s="1">
        <v>58</v>
      </c>
      <c r="K25" s="1">
        <v>41</v>
      </c>
      <c r="L25" s="1">
        <v>59</v>
      </c>
      <c r="M25" s="1">
        <v>117</v>
      </c>
      <c r="N25" s="1">
        <v>113</v>
      </c>
      <c r="O25" s="1">
        <v>52</v>
      </c>
      <c r="P25" s="1">
        <v>56</v>
      </c>
      <c r="Q25" s="1">
        <v>30</v>
      </c>
      <c r="R25" s="1">
        <v>60</v>
      </c>
      <c r="S25" s="1">
        <v>116</v>
      </c>
      <c r="T25" s="1">
        <v>112</v>
      </c>
      <c r="U25" s="1">
        <v>233</v>
      </c>
      <c r="V25" s="1">
        <v>115</v>
      </c>
      <c r="W25" s="1">
        <v>120</v>
      </c>
      <c r="X25" s="1">
        <v>18</v>
      </c>
      <c r="Y25" s="1">
        <v>3</v>
      </c>
      <c r="Z25" s="1">
        <v>15</v>
      </c>
      <c r="AA25" s="1">
        <v>4</v>
      </c>
      <c r="AB25" s="1">
        <v>120</v>
      </c>
      <c r="AC25" s="1">
        <v>42</v>
      </c>
      <c r="AD25" s="1">
        <v>5</v>
      </c>
      <c r="AE25" s="1">
        <v>9</v>
      </c>
      <c r="AF25" s="1">
        <v>71</v>
      </c>
      <c r="AG25" s="1">
        <v>25</v>
      </c>
      <c r="AH25" s="1">
        <v>47</v>
      </c>
      <c r="AI25" s="1">
        <v>55</v>
      </c>
      <c r="AJ25" s="1">
        <v>43</v>
      </c>
      <c r="AK25" s="1">
        <v>6</v>
      </c>
      <c r="AL25" s="1">
        <v>8</v>
      </c>
      <c r="AM25" s="1">
        <v>11</v>
      </c>
      <c r="AN25" s="1">
        <v>25</v>
      </c>
      <c r="AO25" s="1">
        <v>42</v>
      </c>
      <c r="AP25" s="1">
        <v>9</v>
      </c>
      <c r="AQ25" s="1">
        <v>40</v>
      </c>
      <c r="AR25" s="1">
        <v>10</v>
      </c>
      <c r="AS25" s="1">
        <v>44</v>
      </c>
      <c r="AT25" s="1">
        <v>8888</v>
      </c>
      <c r="AU25" s="1">
        <v>8888</v>
      </c>
      <c r="AV25" s="1">
        <v>18</v>
      </c>
      <c r="AW25" s="1">
        <v>53</v>
      </c>
      <c r="AX25" s="1">
        <v>23</v>
      </c>
      <c r="AY25" s="1">
        <v>49</v>
      </c>
      <c r="AZ25" s="1">
        <v>1</v>
      </c>
      <c r="BA25" s="1">
        <v>4</v>
      </c>
      <c r="BB25" s="1">
        <v>7</v>
      </c>
      <c r="BC25" s="1">
        <v>12</v>
      </c>
      <c r="BD25" s="1">
        <v>21</v>
      </c>
      <c r="BE25" s="1">
        <v>7</v>
      </c>
      <c r="BF25" s="1">
        <v>28</v>
      </c>
      <c r="BG25" s="1">
        <v>21</v>
      </c>
      <c r="BH25" s="1">
        <v>15</v>
      </c>
      <c r="BI25" s="1">
        <v>20</v>
      </c>
      <c r="BJ25" s="1">
        <v>56</v>
      </c>
      <c r="BK25" s="1">
        <v>47</v>
      </c>
      <c r="BL25" s="1">
        <v>16</v>
      </c>
      <c r="BM25" s="1">
        <v>35</v>
      </c>
      <c r="BN25" s="1">
        <v>98</v>
      </c>
      <c r="BO25" s="1">
        <v>53</v>
      </c>
      <c r="BP25" s="1">
        <v>3.68</v>
      </c>
      <c r="BQ25" s="1">
        <v>1.64</v>
      </c>
      <c r="BR25" s="1">
        <v>0.77</v>
      </c>
      <c r="BS25" s="1">
        <v>2.0299999999999998</v>
      </c>
      <c r="BT25" s="1">
        <v>33</v>
      </c>
      <c r="BU25" s="1">
        <v>1</v>
      </c>
      <c r="BV25" s="1">
        <v>43.87</v>
      </c>
      <c r="BW25" s="1">
        <v>6</v>
      </c>
      <c r="BX25" s="1">
        <v>39.32</v>
      </c>
      <c r="BY25" s="1">
        <v>492.57</v>
      </c>
      <c r="BZ25" s="1">
        <v>65.97</v>
      </c>
      <c r="CA25" s="1">
        <v>8.83</v>
      </c>
      <c r="CB25" s="1">
        <v>65.34</v>
      </c>
      <c r="CC25" s="1">
        <v>12.86</v>
      </c>
      <c r="CD25" s="1">
        <v>61.08</v>
      </c>
      <c r="CE25" s="1">
        <v>0.93</v>
      </c>
      <c r="CF25" s="1">
        <v>43.93</v>
      </c>
      <c r="CG25" s="1">
        <v>0.81</v>
      </c>
      <c r="CH25" s="1">
        <v>50.72</v>
      </c>
      <c r="CI25" s="1">
        <v>1</v>
      </c>
      <c r="CJ25" s="1">
        <v>50.91</v>
      </c>
      <c r="CK25" s="1">
        <v>0.08</v>
      </c>
      <c r="CL25" s="1">
        <v>75.73</v>
      </c>
      <c r="CM25" s="1">
        <v>0.17</v>
      </c>
      <c r="CN25" s="1">
        <v>70.819999999999993</v>
      </c>
      <c r="CO25" s="1">
        <v>0.01</v>
      </c>
      <c r="CP25" s="1">
        <v>37.18</v>
      </c>
      <c r="CQ25" s="1">
        <v>0.05</v>
      </c>
      <c r="CR25" s="1">
        <v>53.06</v>
      </c>
      <c r="CS25" s="1">
        <v>39</v>
      </c>
      <c r="CT25" s="1">
        <v>33</v>
      </c>
      <c r="CU25" s="1">
        <v>53</v>
      </c>
      <c r="CV25" s="1">
        <v>42</v>
      </c>
      <c r="CW25" s="1">
        <v>21</v>
      </c>
      <c r="CX25" s="1">
        <v>49</v>
      </c>
      <c r="CY25" s="1">
        <v>53</v>
      </c>
      <c r="CZ25" s="1">
        <v>36</v>
      </c>
      <c r="DA25" s="1">
        <v>0</v>
      </c>
    </row>
    <row r="26" spans="1:105" x14ac:dyDescent="0.15">
      <c r="A26" s="1" t="s">
        <v>229</v>
      </c>
      <c r="B26" s="1" t="s">
        <v>230</v>
      </c>
      <c r="C26" s="1">
        <v>3</v>
      </c>
      <c r="D26" s="1">
        <v>13</v>
      </c>
      <c r="E26" s="1">
        <v>37</v>
      </c>
      <c r="F26" s="1">
        <v>108</v>
      </c>
      <c r="G26" s="1">
        <v>102</v>
      </c>
      <c r="H26" s="1">
        <v>6</v>
      </c>
      <c r="I26" s="1">
        <v>49</v>
      </c>
      <c r="J26" s="1">
        <v>44</v>
      </c>
      <c r="K26" s="1">
        <v>35</v>
      </c>
      <c r="L26" s="1">
        <v>50</v>
      </c>
      <c r="M26" s="1">
        <v>94</v>
      </c>
      <c r="N26" s="1">
        <v>95</v>
      </c>
      <c r="O26" s="1">
        <v>42</v>
      </c>
      <c r="P26" s="1">
        <v>48</v>
      </c>
      <c r="Q26" s="1">
        <v>32</v>
      </c>
      <c r="R26" s="1">
        <v>61</v>
      </c>
      <c r="S26" s="1">
        <v>109</v>
      </c>
      <c r="T26" s="1">
        <v>106</v>
      </c>
      <c r="U26" s="1">
        <v>203</v>
      </c>
      <c r="V26" s="1">
        <v>101</v>
      </c>
      <c r="W26" s="1">
        <v>120</v>
      </c>
      <c r="X26" s="1">
        <v>38</v>
      </c>
      <c r="Y26" s="1">
        <v>0</v>
      </c>
      <c r="Z26" s="1">
        <v>38</v>
      </c>
      <c r="AA26" s="1">
        <v>12</v>
      </c>
      <c r="AB26" s="1">
        <v>120</v>
      </c>
      <c r="AC26" s="1">
        <v>75</v>
      </c>
      <c r="AD26" s="1">
        <v>10</v>
      </c>
      <c r="AE26" s="1">
        <v>22</v>
      </c>
      <c r="AF26" s="1">
        <v>105</v>
      </c>
      <c r="AG26" s="1">
        <v>17</v>
      </c>
      <c r="AH26" s="1">
        <v>58</v>
      </c>
      <c r="AI26" s="1">
        <v>61</v>
      </c>
      <c r="AJ26" s="1">
        <v>43</v>
      </c>
      <c r="AK26" s="1">
        <v>7</v>
      </c>
      <c r="AL26" s="1">
        <v>8</v>
      </c>
      <c r="AM26" s="1">
        <v>10</v>
      </c>
      <c r="AN26" s="1">
        <v>25</v>
      </c>
      <c r="AO26" s="1">
        <v>40</v>
      </c>
      <c r="AP26" s="1">
        <v>7</v>
      </c>
      <c r="AQ26" s="1">
        <v>28</v>
      </c>
      <c r="AR26" s="1">
        <v>10</v>
      </c>
      <c r="AS26" s="1">
        <v>29</v>
      </c>
      <c r="AT26" s="1">
        <v>15</v>
      </c>
      <c r="AU26" s="1">
        <v>42</v>
      </c>
      <c r="AV26" s="1">
        <v>19</v>
      </c>
      <c r="AW26" s="1">
        <v>58</v>
      </c>
      <c r="AX26" s="1">
        <v>26</v>
      </c>
      <c r="AY26" s="1">
        <v>59</v>
      </c>
      <c r="AZ26" s="1">
        <v>4</v>
      </c>
      <c r="BA26" s="1">
        <v>6</v>
      </c>
      <c r="BB26" s="1">
        <v>10</v>
      </c>
      <c r="BC26" s="1">
        <v>20</v>
      </c>
      <c r="BD26" s="1">
        <v>31</v>
      </c>
      <c r="BE26" s="1">
        <v>10</v>
      </c>
      <c r="BF26" s="1">
        <v>44</v>
      </c>
      <c r="BG26" s="1">
        <v>14</v>
      </c>
      <c r="BH26" s="1">
        <v>14</v>
      </c>
      <c r="BI26" s="1">
        <v>15</v>
      </c>
      <c r="BJ26" s="1">
        <v>43</v>
      </c>
      <c r="BK26" s="1">
        <v>43</v>
      </c>
      <c r="BL26" s="1">
        <v>19</v>
      </c>
      <c r="BM26" s="1">
        <v>40</v>
      </c>
      <c r="BN26" s="1">
        <v>87</v>
      </c>
      <c r="BO26" s="1">
        <v>41</v>
      </c>
      <c r="BP26" s="1">
        <v>3.68</v>
      </c>
      <c r="BQ26" s="1">
        <v>3.96</v>
      </c>
      <c r="BR26" s="1">
        <v>2.68</v>
      </c>
      <c r="BS26" s="1">
        <v>3.44</v>
      </c>
      <c r="BT26" s="1">
        <v>55</v>
      </c>
      <c r="BU26" s="1">
        <v>0</v>
      </c>
      <c r="BV26" s="1">
        <v>44.87</v>
      </c>
      <c r="BW26" s="1">
        <v>12</v>
      </c>
      <c r="BX26" s="1">
        <v>52.04</v>
      </c>
      <c r="BY26" s="1">
        <v>357.43</v>
      </c>
      <c r="BZ26" s="1">
        <v>43.82</v>
      </c>
      <c r="CA26" s="1">
        <v>6.27</v>
      </c>
      <c r="CB26" s="1">
        <v>56.08</v>
      </c>
      <c r="CC26" s="1">
        <v>8.8699999999999992</v>
      </c>
      <c r="CD26" s="1">
        <v>55.28</v>
      </c>
      <c r="CE26" s="1">
        <v>0.63</v>
      </c>
      <c r="CF26" s="1">
        <v>55.57</v>
      </c>
      <c r="CG26" s="1">
        <v>0.73</v>
      </c>
      <c r="CH26" s="1">
        <v>49.25</v>
      </c>
      <c r="CI26" s="1">
        <v>0</v>
      </c>
      <c r="CJ26" s="1">
        <v>46.79</v>
      </c>
      <c r="CK26" s="1">
        <v>0.01</v>
      </c>
      <c r="CL26" s="1">
        <v>52.61</v>
      </c>
      <c r="CM26" s="1">
        <v>0.06</v>
      </c>
      <c r="CN26" s="1">
        <v>60.6</v>
      </c>
      <c r="CO26" s="1">
        <v>0.03</v>
      </c>
      <c r="CP26" s="1">
        <v>41.36</v>
      </c>
      <c r="CQ26" s="1">
        <v>-0.04</v>
      </c>
      <c r="CR26" s="1">
        <v>44.39</v>
      </c>
      <c r="CS26" s="1">
        <v>46</v>
      </c>
      <c r="CT26" s="1">
        <v>55</v>
      </c>
      <c r="CU26" s="1">
        <v>50</v>
      </c>
      <c r="CV26" s="1">
        <v>40</v>
      </c>
      <c r="CW26" s="1">
        <v>31</v>
      </c>
      <c r="CX26" s="1">
        <v>59</v>
      </c>
      <c r="CY26" s="1">
        <v>41</v>
      </c>
      <c r="CZ26" s="1">
        <v>44</v>
      </c>
      <c r="DA26" s="1">
        <v>0</v>
      </c>
    </row>
    <row r="27" spans="1:105" x14ac:dyDescent="0.15">
      <c r="A27" s="1" t="s">
        <v>227</v>
      </c>
      <c r="B27" s="1" t="s">
        <v>234</v>
      </c>
      <c r="C27" s="1">
        <v>3</v>
      </c>
      <c r="D27" s="1">
        <v>13</v>
      </c>
      <c r="E27" s="1">
        <v>22</v>
      </c>
      <c r="F27" s="1">
        <v>83</v>
      </c>
      <c r="G27" s="1">
        <v>102</v>
      </c>
      <c r="H27" s="1">
        <v>-19</v>
      </c>
      <c r="I27" s="1">
        <v>39</v>
      </c>
      <c r="J27" s="1">
        <v>31</v>
      </c>
      <c r="K27" s="1">
        <v>33</v>
      </c>
      <c r="L27" s="1">
        <v>45</v>
      </c>
      <c r="M27" s="1">
        <v>76</v>
      </c>
      <c r="N27" s="1">
        <v>82</v>
      </c>
      <c r="O27" s="1">
        <v>58</v>
      </c>
      <c r="P27" s="1">
        <v>61</v>
      </c>
      <c r="Q27" s="1">
        <v>26</v>
      </c>
      <c r="R27" s="1">
        <v>54</v>
      </c>
      <c r="S27" s="1">
        <v>115</v>
      </c>
      <c r="T27" s="1">
        <v>111</v>
      </c>
      <c r="U27" s="1">
        <v>191</v>
      </c>
      <c r="V27" s="1">
        <v>96</v>
      </c>
      <c r="W27" s="1">
        <v>120</v>
      </c>
      <c r="X27" s="1">
        <v>30</v>
      </c>
      <c r="Y27" s="1">
        <v>0</v>
      </c>
      <c r="Z27" s="1">
        <v>30</v>
      </c>
      <c r="AA27" s="1">
        <v>9</v>
      </c>
      <c r="AB27" s="1">
        <v>120</v>
      </c>
      <c r="AC27" s="1">
        <v>88</v>
      </c>
      <c r="AD27" s="1">
        <v>13</v>
      </c>
      <c r="AE27" s="1">
        <v>22</v>
      </c>
      <c r="AF27" s="1">
        <v>105</v>
      </c>
      <c r="AG27" s="1">
        <v>21</v>
      </c>
      <c r="AH27" s="1">
        <v>55</v>
      </c>
      <c r="AI27" s="1">
        <v>66</v>
      </c>
      <c r="AJ27" s="1">
        <v>53</v>
      </c>
      <c r="AK27" s="1">
        <v>5</v>
      </c>
      <c r="AL27" s="1">
        <v>6</v>
      </c>
      <c r="AM27" s="1">
        <v>11</v>
      </c>
      <c r="AN27" s="1">
        <v>22</v>
      </c>
      <c r="AO27" s="1">
        <v>36</v>
      </c>
      <c r="AP27" s="1">
        <v>5</v>
      </c>
      <c r="AQ27" s="1">
        <v>23</v>
      </c>
      <c r="AR27" s="1">
        <v>10</v>
      </c>
      <c r="AS27" s="1">
        <v>44</v>
      </c>
      <c r="AT27" s="1">
        <v>16</v>
      </c>
      <c r="AU27" s="1">
        <v>48</v>
      </c>
      <c r="AV27" s="1">
        <v>13</v>
      </c>
      <c r="AW27" s="1">
        <v>42</v>
      </c>
      <c r="AX27" s="1">
        <v>24</v>
      </c>
      <c r="AY27" s="1">
        <v>56</v>
      </c>
      <c r="AZ27" s="1">
        <v>4</v>
      </c>
      <c r="BA27" s="1">
        <v>6</v>
      </c>
      <c r="BB27" s="1">
        <v>7</v>
      </c>
      <c r="BC27" s="1">
        <v>17</v>
      </c>
      <c r="BD27" s="1">
        <v>31</v>
      </c>
      <c r="BE27" s="1">
        <v>7</v>
      </c>
      <c r="BF27" s="1">
        <v>29</v>
      </c>
      <c r="BG27" s="1">
        <v>9</v>
      </c>
      <c r="BH27" s="1">
        <v>4</v>
      </c>
      <c r="BI27" s="1">
        <v>13</v>
      </c>
      <c r="BJ27" s="1">
        <v>26</v>
      </c>
      <c r="BK27" s="1">
        <v>30</v>
      </c>
      <c r="BL27" s="1">
        <v>18</v>
      </c>
      <c r="BM27" s="1">
        <v>39</v>
      </c>
      <c r="BN27" s="1">
        <v>110</v>
      </c>
      <c r="BO27" s="1">
        <v>66</v>
      </c>
      <c r="BP27" s="1">
        <v>3.64</v>
      </c>
      <c r="BQ27" s="1">
        <v>2.78</v>
      </c>
      <c r="BR27" s="1">
        <v>3.34</v>
      </c>
      <c r="BS27" s="1">
        <v>3.25</v>
      </c>
      <c r="BT27" s="1">
        <v>54</v>
      </c>
      <c r="BU27" s="1">
        <v>0</v>
      </c>
      <c r="BV27" s="1">
        <v>44.87</v>
      </c>
      <c r="BW27" s="1">
        <v>13</v>
      </c>
      <c r="BX27" s="1">
        <v>53.59</v>
      </c>
      <c r="BY27" s="1">
        <v>317.12</v>
      </c>
      <c r="BZ27" s="1">
        <v>35.93</v>
      </c>
      <c r="CA27" s="1">
        <v>3.99</v>
      </c>
      <c r="CB27" s="1">
        <v>40.700000000000003</v>
      </c>
      <c r="CC27" s="1">
        <v>7.31</v>
      </c>
      <c r="CD27" s="1">
        <v>51.4</v>
      </c>
      <c r="CE27" s="1">
        <v>0.7</v>
      </c>
      <c r="CF27" s="1">
        <v>54</v>
      </c>
      <c r="CG27" s="1">
        <v>0</v>
      </c>
      <c r="CH27" s="1">
        <v>43.47</v>
      </c>
      <c r="CI27" s="1">
        <v>0</v>
      </c>
      <c r="CJ27" s="1">
        <v>46.79</v>
      </c>
      <c r="CK27" s="1">
        <v>0</v>
      </c>
      <c r="CL27" s="1">
        <v>48.1</v>
      </c>
      <c r="CM27" s="1">
        <v>0.08</v>
      </c>
      <c r="CN27" s="1">
        <v>62.64</v>
      </c>
      <c r="CO27" s="1">
        <v>0.02</v>
      </c>
      <c r="CP27" s="1">
        <v>38.58</v>
      </c>
      <c r="CQ27" s="1">
        <v>-0.13</v>
      </c>
      <c r="CR27" s="1">
        <v>35.119999999999997</v>
      </c>
      <c r="CS27" s="1">
        <v>49</v>
      </c>
      <c r="CT27" s="1">
        <v>54</v>
      </c>
      <c r="CU27" s="1">
        <v>44</v>
      </c>
      <c r="CV27" s="1">
        <v>36</v>
      </c>
      <c r="CW27" s="1">
        <v>31</v>
      </c>
      <c r="CX27" s="1">
        <v>56</v>
      </c>
      <c r="CY27" s="1">
        <v>66</v>
      </c>
      <c r="CZ27" s="1">
        <v>47</v>
      </c>
      <c r="DA27" s="1">
        <v>0</v>
      </c>
    </row>
    <row r="28" spans="1:105" x14ac:dyDescent="0.15">
      <c r="A28" s="1" t="s">
        <v>221</v>
      </c>
      <c r="B28" s="1" t="s">
        <v>236</v>
      </c>
      <c r="C28" s="1">
        <v>1</v>
      </c>
      <c r="D28" s="1">
        <v>16</v>
      </c>
      <c r="E28" s="1">
        <v>48</v>
      </c>
      <c r="F28" s="1">
        <v>122</v>
      </c>
      <c r="G28" s="1">
        <v>111</v>
      </c>
      <c r="H28" s="1">
        <v>11</v>
      </c>
      <c r="I28" s="1">
        <v>69</v>
      </c>
      <c r="J28" s="1">
        <v>62</v>
      </c>
      <c r="K28" s="1">
        <v>40</v>
      </c>
      <c r="L28" s="1">
        <v>57</v>
      </c>
      <c r="M28" s="1">
        <v>119</v>
      </c>
      <c r="N28" s="1">
        <v>115</v>
      </c>
      <c r="O28" s="1">
        <v>61</v>
      </c>
      <c r="P28" s="1">
        <v>64</v>
      </c>
      <c r="Q28" s="1">
        <v>28</v>
      </c>
      <c r="R28" s="1">
        <v>58</v>
      </c>
      <c r="S28" s="1">
        <v>122</v>
      </c>
      <c r="T28" s="1">
        <v>119</v>
      </c>
      <c r="U28" s="1">
        <v>241</v>
      </c>
      <c r="V28" s="1">
        <v>119</v>
      </c>
      <c r="W28" s="1">
        <v>120</v>
      </c>
      <c r="X28" s="1">
        <v>43</v>
      </c>
      <c r="Y28" s="1">
        <v>0</v>
      </c>
      <c r="Z28" s="1">
        <v>43</v>
      </c>
      <c r="AA28" s="1">
        <v>14</v>
      </c>
      <c r="AB28" s="1">
        <v>120</v>
      </c>
      <c r="AC28" s="1">
        <v>75</v>
      </c>
      <c r="AD28" s="1">
        <v>11</v>
      </c>
      <c r="AE28" s="1">
        <v>25</v>
      </c>
      <c r="AF28" s="1">
        <v>114</v>
      </c>
      <c r="AG28" s="1">
        <v>17</v>
      </c>
      <c r="AH28" s="1">
        <v>63</v>
      </c>
      <c r="AI28" s="1">
        <v>77</v>
      </c>
      <c r="AJ28" s="1">
        <v>71</v>
      </c>
      <c r="AK28" s="1">
        <v>4</v>
      </c>
      <c r="AL28" s="1">
        <v>10</v>
      </c>
      <c r="AM28" s="1">
        <v>12</v>
      </c>
      <c r="AN28" s="1">
        <v>26</v>
      </c>
      <c r="AO28" s="1">
        <v>45</v>
      </c>
      <c r="AP28" s="1">
        <v>10</v>
      </c>
      <c r="AQ28" s="1">
        <v>49</v>
      </c>
      <c r="AR28" s="1">
        <v>11</v>
      </c>
      <c r="AS28" s="1">
        <v>49</v>
      </c>
      <c r="AT28" s="1">
        <v>16</v>
      </c>
      <c r="AU28" s="1">
        <v>46</v>
      </c>
      <c r="AV28" s="1">
        <v>17</v>
      </c>
      <c r="AW28" s="1">
        <v>52</v>
      </c>
      <c r="AX28" s="1">
        <v>26</v>
      </c>
      <c r="AY28" s="1">
        <v>65</v>
      </c>
      <c r="AZ28" s="1">
        <v>2</v>
      </c>
      <c r="BA28" s="1">
        <v>9</v>
      </c>
      <c r="BB28" s="1">
        <v>9</v>
      </c>
      <c r="BC28" s="1">
        <v>20</v>
      </c>
      <c r="BD28" s="1">
        <v>40</v>
      </c>
      <c r="BE28" s="1">
        <v>10</v>
      </c>
      <c r="BF28" s="1">
        <v>52</v>
      </c>
      <c r="BG28" s="1">
        <v>19</v>
      </c>
      <c r="BH28" s="1">
        <v>15</v>
      </c>
      <c r="BI28" s="1">
        <v>20</v>
      </c>
      <c r="BJ28" s="1">
        <v>54</v>
      </c>
      <c r="BK28" s="1">
        <v>48</v>
      </c>
      <c r="BL28" s="1">
        <v>27</v>
      </c>
      <c r="BM28" s="1">
        <v>56</v>
      </c>
      <c r="BN28" s="1">
        <v>111</v>
      </c>
      <c r="BO28" s="1">
        <v>67</v>
      </c>
      <c r="BP28" s="1">
        <v>3.62</v>
      </c>
      <c r="BQ28" s="1">
        <v>3.09</v>
      </c>
      <c r="BR28" s="1">
        <v>1.42</v>
      </c>
      <c r="BS28" s="1">
        <v>2.71</v>
      </c>
      <c r="BT28" s="1">
        <v>45</v>
      </c>
      <c r="BU28" s="1">
        <v>0</v>
      </c>
      <c r="BV28" s="1">
        <v>42.1</v>
      </c>
      <c r="BW28" s="1">
        <v>17</v>
      </c>
      <c r="BX28" s="1">
        <v>53.17</v>
      </c>
      <c r="BY28" s="1">
        <v>327.01</v>
      </c>
      <c r="BZ28" s="1">
        <v>37.01</v>
      </c>
      <c r="CA28" s="1">
        <v>6.02</v>
      </c>
      <c r="CB28" s="1">
        <v>56.49</v>
      </c>
      <c r="CC28" s="1">
        <v>8.26</v>
      </c>
      <c r="CD28" s="1">
        <v>58.37</v>
      </c>
      <c r="CE28" s="1">
        <v>0.75</v>
      </c>
      <c r="CF28" s="1">
        <v>48.94</v>
      </c>
      <c r="CG28" s="1">
        <v>0.09</v>
      </c>
      <c r="CH28" s="1">
        <v>44.95</v>
      </c>
      <c r="CI28" s="1">
        <v>1</v>
      </c>
      <c r="CJ28" s="1">
        <v>66.92</v>
      </c>
      <c r="CK28" s="1">
        <v>0</v>
      </c>
      <c r="CL28" s="1">
        <v>48.66</v>
      </c>
      <c r="CM28" s="1">
        <v>7.0000000000000007E-2</v>
      </c>
      <c r="CN28" s="1">
        <v>69.900000000000006</v>
      </c>
      <c r="CO28" s="1">
        <v>0.1</v>
      </c>
      <c r="CP28" s="1">
        <v>72.11</v>
      </c>
      <c r="CQ28" s="1">
        <v>-0.01</v>
      </c>
      <c r="CR28" s="1">
        <v>50.15</v>
      </c>
      <c r="CS28" s="1">
        <v>68</v>
      </c>
      <c r="CT28" s="1">
        <v>45</v>
      </c>
      <c r="CU28" s="1">
        <v>49</v>
      </c>
      <c r="CV28" s="1">
        <v>45</v>
      </c>
      <c r="CW28" s="1">
        <v>40</v>
      </c>
      <c r="CX28" s="1">
        <v>65</v>
      </c>
      <c r="CY28" s="1">
        <v>67</v>
      </c>
      <c r="CZ28" s="1">
        <v>56</v>
      </c>
      <c r="DA28" s="1">
        <v>0</v>
      </c>
    </row>
    <row r="29" spans="1:105" x14ac:dyDescent="0.15">
      <c r="A29" s="1" t="s">
        <v>233</v>
      </c>
      <c r="B29" s="1" t="s">
        <v>431</v>
      </c>
      <c r="C29" s="1">
        <v>1</v>
      </c>
      <c r="D29" s="1">
        <v>16</v>
      </c>
      <c r="E29" s="1">
        <v>45</v>
      </c>
      <c r="F29" s="1">
        <v>120</v>
      </c>
      <c r="G29" s="1">
        <v>111</v>
      </c>
      <c r="H29" s="1">
        <v>9</v>
      </c>
      <c r="I29" s="1">
        <v>58</v>
      </c>
      <c r="J29" s="1">
        <v>52</v>
      </c>
      <c r="K29" s="1">
        <v>42</v>
      </c>
      <c r="L29" s="1">
        <v>62</v>
      </c>
      <c r="M29" s="1">
        <v>114</v>
      </c>
      <c r="N29" s="1">
        <v>110</v>
      </c>
      <c r="O29" s="1">
        <v>69</v>
      </c>
      <c r="P29" s="1">
        <v>67</v>
      </c>
      <c r="Q29" s="1">
        <v>30</v>
      </c>
      <c r="R29" s="1">
        <v>59</v>
      </c>
      <c r="S29" s="1">
        <v>126</v>
      </c>
      <c r="T29" s="1">
        <v>123</v>
      </c>
      <c r="U29" s="1">
        <v>240</v>
      </c>
      <c r="V29" s="1">
        <v>118</v>
      </c>
      <c r="W29" s="1">
        <v>120</v>
      </c>
      <c r="X29" s="1">
        <v>37</v>
      </c>
      <c r="Y29" s="1">
        <v>3</v>
      </c>
      <c r="Z29" s="1">
        <v>34</v>
      </c>
      <c r="AA29" s="1">
        <v>10</v>
      </c>
      <c r="AB29" s="1">
        <v>120</v>
      </c>
      <c r="AC29" s="1">
        <v>74</v>
      </c>
      <c r="AD29" s="1">
        <v>10</v>
      </c>
      <c r="AE29" s="1">
        <v>20</v>
      </c>
      <c r="AF29" s="1">
        <v>100</v>
      </c>
      <c r="AG29" s="1">
        <v>17</v>
      </c>
      <c r="AH29" s="1">
        <v>60</v>
      </c>
      <c r="AI29" s="1">
        <v>62</v>
      </c>
      <c r="AJ29" s="1">
        <v>47</v>
      </c>
      <c r="AK29" s="1">
        <v>7</v>
      </c>
      <c r="AL29" s="1">
        <v>10</v>
      </c>
      <c r="AM29" s="1">
        <v>12</v>
      </c>
      <c r="AN29" s="1">
        <v>29</v>
      </c>
      <c r="AO29" s="1">
        <v>49</v>
      </c>
      <c r="AP29" s="1">
        <v>10</v>
      </c>
      <c r="AQ29" s="1">
        <v>47</v>
      </c>
      <c r="AR29" s="1">
        <v>10</v>
      </c>
      <c r="AS29" s="1">
        <v>44</v>
      </c>
      <c r="AT29" s="1">
        <v>16</v>
      </c>
      <c r="AU29" s="1">
        <v>47</v>
      </c>
      <c r="AV29" s="1">
        <v>13</v>
      </c>
      <c r="AW29" s="1">
        <v>41</v>
      </c>
      <c r="AX29" s="1">
        <v>23</v>
      </c>
      <c r="AY29" s="1">
        <v>51</v>
      </c>
      <c r="AZ29" s="1">
        <v>3</v>
      </c>
      <c r="BA29" s="1">
        <v>4</v>
      </c>
      <c r="BB29" s="1">
        <v>10</v>
      </c>
      <c r="BC29" s="1">
        <v>17</v>
      </c>
      <c r="BD29" s="1">
        <v>29</v>
      </c>
      <c r="BE29" s="1">
        <v>10</v>
      </c>
      <c r="BF29" s="1">
        <v>46</v>
      </c>
      <c r="BG29" s="1">
        <v>11</v>
      </c>
      <c r="BH29" s="1">
        <v>9</v>
      </c>
      <c r="BI29" s="1">
        <v>11</v>
      </c>
      <c r="BJ29" s="1">
        <v>31</v>
      </c>
      <c r="BK29" s="1">
        <v>31</v>
      </c>
      <c r="BL29" s="1">
        <v>24</v>
      </c>
      <c r="BM29" s="1">
        <v>50</v>
      </c>
      <c r="BN29" s="1">
        <v>88</v>
      </c>
      <c r="BO29" s="1">
        <v>41</v>
      </c>
      <c r="BP29" s="1">
        <v>3.67</v>
      </c>
      <c r="BQ29" s="1">
        <v>3.95</v>
      </c>
      <c r="BR29" s="1">
        <v>2.68</v>
      </c>
      <c r="BS29" s="1">
        <v>3.43</v>
      </c>
      <c r="BT29" s="1">
        <v>56</v>
      </c>
      <c r="BU29" s="1">
        <v>0</v>
      </c>
      <c r="BV29" s="1">
        <v>44.87</v>
      </c>
      <c r="BW29" s="1">
        <v>15</v>
      </c>
      <c r="BX29" s="1">
        <v>56.68</v>
      </c>
      <c r="BY29" s="1">
        <v>331.55</v>
      </c>
      <c r="BZ29" s="1">
        <v>38.869999999999997</v>
      </c>
      <c r="CA29" s="1">
        <v>4.6100000000000003</v>
      </c>
      <c r="CB29" s="1">
        <v>45.6</v>
      </c>
      <c r="CC29" s="1">
        <v>4.38</v>
      </c>
      <c r="CD29" s="1">
        <v>41.15</v>
      </c>
      <c r="CE29" s="1">
        <v>0.66</v>
      </c>
      <c r="CF29" s="1">
        <v>54.87</v>
      </c>
      <c r="CG29" s="1">
        <v>0.06</v>
      </c>
      <c r="CH29" s="1">
        <v>43.93</v>
      </c>
      <c r="CI29" s="1">
        <v>0</v>
      </c>
      <c r="CJ29" s="1">
        <v>46.79</v>
      </c>
      <c r="CK29" s="1">
        <v>0.01</v>
      </c>
      <c r="CL29" s="1">
        <v>54.01</v>
      </c>
      <c r="CM29" s="1">
        <v>0.01</v>
      </c>
      <c r="CN29" s="1">
        <v>53.23</v>
      </c>
      <c r="CO29" s="1">
        <v>0.03</v>
      </c>
      <c r="CP29" s="1">
        <v>42.95</v>
      </c>
      <c r="CQ29" s="1">
        <v>-0.02</v>
      </c>
      <c r="CR29" s="1">
        <v>45.68</v>
      </c>
      <c r="CS29" s="1">
        <v>53</v>
      </c>
      <c r="CT29" s="1">
        <v>56</v>
      </c>
      <c r="CU29" s="1">
        <v>42</v>
      </c>
      <c r="CV29" s="1">
        <v>49</v>
      </c>
      <c r="CW29" s="1">
        <v>29</v>
      </c>
      <c r="CX29" s="1">
        <v>51</v>
      </c>
      <c r="CY29" s="1">
        <v>41</v>
      </c>
      <c r="CZ29" s="1">
        <v>43</v>
      </c>
      <c r="DA29" s="1">
        <v>0</v>
      </c>
    </row>
    <row r="30" spans="1:105" x14ac:dyDescent="0.15">
      <c r="A30" s="1" t="s">
        <v>235</v>
      </c>
      <c r="B30" s="1" t="s">
        <v>432</v>
      </c>
      <c r="C30" s="1">
        <v>1</v>
      </c>
      <c r="D30" s="1">
        <v>16</v>
      </c>
      <c r="E30" s="1">
        <v>49</v>
      </c>
      <c r="F30" s="1">
        <v>125</v>
      </c>
      <c r="G30" s="1">
        <v>111</v>
      </c>
      <c r="H30" s="1">
        <v>14</v>
      </c>
      <c r="I30" s="1">
        <v>68</v>
      </c>
      <c r="J30" s="1">
        <v>62</v>
      </c>
      <c r="K30" s="1">
        <v>43</v>
      </c>
      <c r="L30" s="1">
        <v>63</v>
      </c>
      <c r="M30" s="1">
        <v>125</v>
      </c>
      <c r="N30" s="1">
        <v>120</v>
      </c>
      <c r="O30" s="1">
        <v>71</v>
      </c>
      <c r="P30" s="1">
        <v>70</v>
      </c>
      <c r="Q30" s="1">
        <v>32</v>
      </c>
      <c r="R30" s="1">
        <v>64</v>
      </c>
      <c r="S30" s="1">
        <v>134</v>
      </c>
      <c r="T30" s="1">
        <v>131</v>
      </c>
      <c r="U30" s="1">
        <v>259</v>
      </c>
      <c r="V30" s="1">
        <v>129</v>
      </c>
      <c r="W30" s="1">
        <v>120</v>
      </c>
      <c r="X30" s="1">
        <v>40</v>
      </c>
      <c r="Y30" s="1">
        <v>0</v>
      </c>
      <c r="Z30" s="1">
        <v>40</v>
      </c>
      <c r="AA30" s="1">
        <v>12</v>
      </c>
      <c r="AB30" s="1">
        <v>120</v>
      </c>
      <c r="AC30" s="1">
        <v>85</v>
      </c>
      <c r="AD30" s="1">
        <v>12</v>
      </c>
      <c r="AE30" s="1">
        <v>24</v>
      </c>
      <c r="AF30" s="1">
        <v>111</v>
      </c>
      <c r="AG30" s="1">
        <v>13</v>
      </c>
      <c r="AH30" s="1">
        <v>68</v>
      </c>
      <c r="AI30" s="1">
        <v>69</v>
      </c>
      <c r="AJ30" s="1">
        <v>58</v>
      </c>
      <c r="AK30" s="1">
        <v>8</v>
      </c>
      <c r="AL30" s="1">
        <v>8</v>
      </c>
      <c r="AM30" s="1">
        <v>11</v>
      </c>
      <c r="AN30" s="1">
        <v>27</v>
      </c>
      <c r="AO30" s="1">
        <v>46</v>
      </c>
      <c r="AP30" s="1">
        <v>10</v>
      </c>
      <c r="AQ30" s="1">
        <v>47</v>
      </c>
      <c r="AR30" s="1">
        <v>11</v>
      </c>
      <c r="AS30" s="1">
        <v>51</v>
      </c>
      <c r="AT30" s="1">
        <v>24</v>
      </c>
      <c r="AU30" s="1">
        <v>69</v>
      </c>
      <c r="AV30" s="1">
        <v>20</v>
      </c>
      <c r="AW30" s="1">
        <v>59</v>
      </c>
      <c r="AX30" s="1">
        <v>26</v>
      </c>
      <c r="AY30" s="1">
        <v>60</v>
      </c>
      <c r="AZ30" s="1">
        <v>9</v>
      </c>
      <c r="BA30" s="1">
        <v>12</v>
      </c>
      <c r="BB30" s="1">
        <v>12</v>
      </c>
      <c r="BC30" s="1">
        <v>33</v>
      </c>
      <c r="BD30" s="1">
        <v>58</v>
      </c>
      <c r="BE30" s="1">
        <v>12</v>
      </c>
      <c r="BF30" s="1">
        <v>61</v>
      </c>
      <c r="BG30" s="1">
        <v>20</v>
      </c>
      <c r="BH30" s="1">
        <v>19</v>
      </c>
      <c r="BI30" s="1">
        <v>15</v>
      </c>
      <c r="BJ30" s="1">
        <v>54</v>
      </c>
      <c r="BK30" s="1">
        <v>47</v>
      </c>
      <c r="BL30" s="1">
        <v>20</v>
      </c>
      <c r="BM30" s="1">
        <v>42</v>
      </c>
      <c r="BN30" s="1">
        <v>97</v>
      </c>
      <c r="BO30" s="1">
        <v>52</v>
      </c>
      <c r="BP30" s="1">
        <v>4.24</v>
      </c>
      <c r="BQ30" s="1">
        <v>4.24</v>
      </c>
      <c r="BR30" s="1">
        <v>3.96</v>
      </c>
      <c r="BS30" s="1">
        <v>4.1500000000000004</v>
      </c>
      <c r="BT30" s="1">
        <v>65</v>
      </c>
      <c r="BU30" s="1">
        <v>0</v>
      </c>
      <c r="BV30" s="1">
        <v>40.86</v>
      </c>
      <c r="BW30" s="1">
        <v>5</v>
      </c>
      <c r="BX30" s="1">
        <v>38.03</v>
      </c>
      <c r="BY30" s="1">
        <v>405.82</v>
      </c>
      <c r="BZ30" s="1">
        <v>54.2</v>
      </c>
      <c r="CA30" s="1">
        <v>5.5</v>
      </c>
      <c r="CB30" s="1">
        <v>51.18</v>
      </c>
      <c r="CC30" s="1">
        <v>6.9</v>
      </c>
      <c r="CD30" s="1">
        <v>49.69</v>
      </c>
      <c r="CE30" s="1">
        <v>1.05</v>
      </c>
      <c r="CF30" s="1">
        <v>41.45</v>
      </c>
      <c r="CG30" s="1">
        <v>0.63</v>
      </c>
      <c r="CH30" s="1">
        <v>48.67</v>
      </c>
      <c r="CI30" s="1">
        <v>0</v>
      </c>
      <c r="CJ30" s="1">
        <v>44.54</v>
      </c>
      <c r="CK30" s="1">
        <v>0.03</v>
      </c>
      <c r="CL30" s="1">
        <v>57.89</v>
      </c>
      <c r="CM30" s="1">
        <v>-0.1</v>
      </c>
      <c r="CN30" s="1">
        <v>36.11</v>
      </c>
      <c r="CO30" s="1">
        <v>-0.01</v>
      </c>
      <c r="CP30" s="1">
        <v>31.28</v>
      </c>
      <c r="CQ30" s="1">
        <v>-0.01</v>
      </c>
      <c r="CR30" s="1">
        <v>47.92</v>
      </c>
      <c r="CS30" s="1">
        <v>58</v>
      </c>
      <c r="CT30" s="1">
        <v>65</v>
      </c>
      <c r="CU30" s="1">
        <v>67</v>
      </c>
      <c r="CV30" s="1">
        <v>46</v>
      </c>
      <c r="CW30" s="1">
        <v>58</v>
      </c>
      <c r="CX30" s="1">
        <v>60</v>
      </c>
      <c r="CY30" s="1">
        <v>52</v>
      </c>
      <c r="CZ30" s="1">
        <v>63</v>
      </c>
      <c r="DA30" s="1">
        <v>0</v>
      </c>
    </row>
    <row r="31" spans="1:105" x14ac:dyDescent="0.15">
      <c r="A31" s="1" t="s">
        <v>223</v>
      </c>
      <c r="B31" s="1" t="s">
        <v>433</v>
      </c>
      <c r="C31" s="1">
        <v>3</v>
      </c>
      <c r="D31" s="1">
        <v>16</v>
      </c>
      <c r="E31" s="1">
        <v>46</v>
      </c>
      <c r="F31" s="1">
        <v>119</v>
      </c>
      <c r="G31" s="1">
        <v>106</v>
      </c>
      <c r="H31" s="1">
        <v>13</v>
      </c>
      <c r="I31" s="1">
        <v>63</v>
      </c>
      <c r="J31" s="1">
        <v>54</v>
      </c>
      <c r="K31" s="1">
        <v>40</v>
      </c>
      <c r="L31" s="1">
        <v>58</v>
      </c>
      <c r="M31" s="1">
        <v>112</v>
      </c>
      <c r="N31" s="1">
        <v>109</v>
      </c>
      <c r="O31" s="1">
        <v>45</v>
      </c>
      <c r="P31" s="1">
        <v>55</v>
      </c>
      <c r="Q31" s="1">
        <v>30</v>
      </c>
      <c r="R31" s="1">
        <v>65</v>
      </c>
      <c r="S31" s="1">
        <v>120</v>
      </c>
      <c r="T31" s="1">
        <v>117</v>
      </c>
      <c r="U31" s="1">
        <v>232</v>
      </c>
      <c r="V31" s="1">
        <v>114</v>
      </c>
      <c r="W31" s="1">
        <v>120</v>
      </c>
      <c r="X31" s="1">
        <v>29</v>
      </c>
      <c r="Y31" s="1">
        <v>0</v>
      </c>
      <c r="Z31" s="1">
        <v>29</v>
      </c>
      <c r="AA31" s="1">
        <v>9</v>
      </c>
      <c r="AB31" s="1">
        <v>120</v>
      </c>
      <c r="AC31" s="1">
        <v>88</v>
      </c>
      <c r="AD31" s="1">
        <v>14</v>
      </c>
      <c r="AE31" s="1">
        <v>23</v>
      </c>
      <c r="AF31" s="1">
        <v>108</v>
      </c>
      <c r="AG31" s="1">
        <v>23</v>
      </c>
      <c r="AH31" s="1">
        <v>56</v>
      </c>
      <c r="AI31" s="1">
        <v>62</v>
      </c>
      <c r="AJ31" s="1">
        <v>56</v>
      </c>
      <c r="AK31" s="1">
        <v>5</v>
      </c>
      <c r="AL31" s="1">
        <v>10</v>
      </c>
      <c r="AM31" s="1">
        <v>11</v>
      </c>
      <c r="AN31" s="1">
        <v>26</v>
      </c>
      <c r="AO31" s="1">
        <v>44</v>
      </c>
      <c r="AP31" s="1">
        <v>12</v>
      </c>
      <c r="AQ31" s="1">
        <v>59</v>
      </c>
      <c r="AR31" s="1">
        <v>12</v>
      </c>
      <c r="AS31" s="1">
        <v>57</v>
      </c>
      <c r="AT31" s="1">
        <v>16</v>
      </c>
      <c r="AU31" s="1">
        <v>52</v>
      </c>
      <c r="AV31" s="1">
        <v>14</v>
      </c>
      <c r="AW31" s="1">
        <v>46</v>
      </c>
      <c r="AX31" s="1">
        <v>25</v>
      </c>
      <c r="AY31" s="1">
        <v>67</v>
      </c>
      <c r="AZ31" s="1">
        <v>5</v>
      </c>
      <c r="BA31" s="1">
        <v>10</v>
      </c>
      <c r="BB31" s="1">
        <v>9</v>
      </c>
      <c r="BC31" s="1">
        <v>24</v>
      </c>
      <c r="BD31" s="1">
        <v>51</v>
      </c>
      <c r="BE31" s="1">
        <v>9</v>
      </c>
      <c r="BF31" s="1">
        <v>49</v>
      </c>
      <c r="BG31" s="1">
        <v>18</v>
      </c>
      <c r="BH31" s="1">
        <v>13</v>
      </c>
      <c r="BI31" s="1">
        <v>14</v>
      </c>
      <c r="BJ31" s="1">
        <v>45</v>
      </c>
      <c r="BK31" s="1">
        <v>42</v>
      </c>
      <c r="BL31" s="1">
        <v>26</v>
      </c>
      <c r="BM31" s="1">
        <v>55</v>
      </c>
      <c r="BN31" s="1">
        <v>108</v>
      </c>
      <c r="BO31" s="1">
        <v>61</v>
      </c>
      <c r="BP31" s="1">
        <v>3.96</v>
      </c>
      <c r="BQ31" s="1">
        <v>3.68</v>
      </c>
      <c r="BR31" s="1">
        <v>1.9</v>
      </c>
      <c r="BS31" s="1">
        <v>3.18</v>
      </c>
      <c r="BT31" s="1">
        <v>55</v>
      </c>
      <c r="BU31" s="1">
        <v>4</v>
      </c>
      <c r="BV31" s="1">
        <v>58.08</v>
      </c>
      <c r="BW31" s="1">
        <v>13</v>
      </c>
      <c r="BX31" s="1">
        <v>56.4</v>
      </c>
      <c r="BY31" s="1">
        <v>366.06</v>
      </c>
      <c r="BZ31" s="1">
        <v>41.37</v>
      </c>
      <c r="CA31" s="1">
        <v>5.84</v>
      </c>
      <c r="CB31" s="1">
        <v>55.47</v>
      </c>
      <c r="CC31" s="1">
        <v>5.96</v>
      </c>
      <c r="CD31" s="1">
        <v>50.19</v>
      </c>
      <c r="CE31" s="1">
        <v>0.68</v>
      </c>
      <c r="CF31" s="1">
        <v>56.1</v>
      </c>
      <c r="CG31" s="1">
        <v>0.62</v>
      </c>
      <c r="CH31" s="1">
        <v>48.87</v>
      </c>
      <c r="CI31" s="1">
        <v>0</v>
      </c>
      <c r="CJ31" s="1">
        <v>45.91</v>
      </c>
      <c r="CK31" s="1">
        <v>0.02</v>
      </c>
      <c r="CL31" s="1">
        <v>59.94</v>
      </c>
      <c r="CM31" s="1">
        <v>0.06</v>
      </c>
      <c r="CN31" s="1">
        <v>65.03</v>
      </c>
      <c r="CO31" s="1">
        <v>0.11</v>
      </c>
      <c r="CP31" s="1">
        <v>70.62</v>
      </c>
      <c r="CQ31" s="1">
        <v>-0.04</v>
      </c>
      <c r="CR31" s="1">
        <v>45.89</v>
      </c>
      <c r="CS31" s="1">
        <v>58</v>
      </c>
      <c r="CT31" s="1">
        <v>55</v>
      </c>
      <c r="CU31" s="1">
        <v>49</v>
      </c>
      <c r="CV31" s="1">
        <v>44</v>
      </c>
      <c r="CW31" s="1">
        <v>51</v>
      </c>
      <c r="CX31" s="1">
        <v>67</v>
      </c>
      <c r="CY31" s="1">
        <v>61</v>
      </c>
      <c r="CZ31" s="1">
        <v>58</v>
      </c>
      <c r="DA31" s="1">
        <v>0</v>
      </c>
    </row>
    <row r="32" spans="1:105" x14ac:dyDescent="0.15">
      <c r="A32" s="1" t="s">
        <v>237</v>
      </c>
      <c r="B32" s="1" t="s">
        <v>434</v>
      </c>
      <c r="C32" s="1">
        <v>1</v>
      </c>
      <c r="D32" s="1">
        <v>16</v>
      </c>
      <c r="E32" s="1">
        <v>47</v>
      </c>
      <c r="F32" s="1">
        <v>120</v>
      </c>
      <c r="G32" s="1">
        <v>111</v>
      </c>
      <c r="H32" s="1">
        <v>9</v>
      </c>
      <c r="I32" s="1">
        <v>58</v>
      </c>
      <c r="J32" s="1">
        <v>49</v>
      </c>
      <c r="K32" s="1">
        <v>38</v>
      </c>
      <c r="L32" s="1">
        <v>53</v>
      </c>
      <c r="M32" s="1">
        <v>102</v>
      </c>
      <c r="N32" s="1">
        <v>101</v>
      </c>
      <c r="O32" s="1">
        <v>53</v>
      </c>
      <c r="P32" s="1">
        <v>59</v>
      </c>
      <c r="Q32" s="1">
        <v>26</v>
      </c>
      <c r="R32" s="1">
        <v>54</v>
      </c>
      <c r="S32" s="1">
        <v>113</v>
      </c>
      <c r="T32" s="1">
        <v>109</v>
      </c>
      <c r="U32" s="1">
        <v>215</v>
      </c>
      <c r="V32" s="1">
        <v>107</v>
      </c>
      <c r="W32" s="1">
        <v>120</v>
      </c>
      <c r="X32" s="1">
        <v>30</v>
      </c>
      <c r="Y32" s="1">
        <v>2</v>
      </c>
      <c r="Z32" s="1">
        <v>28</v>
      </c>
      <c r="AA32" s="1">
        <v>8</v>
      </c>
      <c r="AB32" s="1">
        <v>120</v>
      </c>
      <c r="AC32" s="1">
        <v>79</v>
      </c>
      <c r="AD32" s="1">
        <v>12</v>
      </c>
      <c r="AE32" s="1">
        <v>20</v>
      </c>
      <c r="AF32" s="1">
        <v>100</v>
      </c>
      <c r="AG32" s="1">
        <v>8888</v>
      </c>
      <c r="AH32" s="1">
        <v>8888</v>
      </c>
      <c r="AI32" s="1">
        <v>59</v>
      </c>
      <c r="AJ32" s="1">
        <v>52</v>
      </c>
      <c r="AK32" s="1">
        <v>6</v>
      </c>
      <c r="AL32" s="1">
        <v>9</v>
      </c>
      <c r="AM32" s="1">
        <v>8</v>
      </c>
      <c r="AN32" s="1">
        <v>23</v>
      </c>
      <c r="AO32" s="1">
        <v>40</v>
      </c>
      <c r="AP32" s="1">
        <v>9</v>
      </c>
      <c r="AQ32" s="1">
        <v>44</v>
      </c>
      <c r="AR32" s="1">
        <v>10</v>
      </c>
      <c r="AS32" s="1">
        <v>39</v>
      </c>
      <c r="AT32" s="1">
        <v>14</v>
      </c>
      <c r="AU32" s="1">
        <v>39</v>
      </c>
      <c r="AV32" s="1">
        <v>13</v>
      </c>
      <c r="AW32" s="1">
        <v>40</v>
      </c>
      <c r="AX32" s="1">
        <v>20</v>
      </c>
      <c r="AY32" s="1">
        <v>46</v>
      </c>
      <c r="AZ32" s="1">
        <v>4</v>
      </c>
      <c r="BA32" s="1">
        <v>6</v>
      </c>
      <c r="BB32" s="1">
        <v>10</v>
      </c>
      <c r="BC32" s="1">
        <v>20</v>
      </c>
      <c r="BD32" s="1">
        <v>40</v>
      </c>
      <c r="BE32" s="1">
        <v>11</v>
      </c>
      <c r="BF32" s="1">
        <v>57</v>
      </c>
      <c r="BG32" s="1">
        <v>11</v>
      </c>
      <c r="BH32" s="1">
        <v>15</v>
      </c>
      <c r="BI32" s="1">
        <v>16</v>
      </c>
      <c r="BJ32" s="1">
        <v>42</v>
      </c>
      <c r="BK32" s="1">
        <v>40</v>
      </c>
      <c r="BL32" s="1">
        <v>25</v>
      </c>
      <c r="BM32" s="1">
        <v>53</v>
      </c>
      <c r="BN32" s="1">
        <v>102</v>
      </c>
      <c r="BO32" s="1">
        <v>57</v>
      </c>
      <c r="BP32" s="1">
        <v>4.24</v>
      </c>
      <c r="BQ32" s="1">
        <v>2.95</v>
      </c>
      <c r="BR32" s="1">
        <v>2.56</v>
      </c>
      <c r="BS32" s="1">
        <v>3.25</v>
      </c>
      <c r="BT32" s="1">
        <v>53</v>
      </c>
      <c r="BU32" s="1">
        <v>1</v>
      </c>
      <c r="BV32" s="1">
        <v>45.43</v>
      </c>
      <c r="BW32" s="1">
        <v>19</v>
      </c>
      <c r="BX32" s="1">
        <v>55.5</v>
      </c>
      <c r="BY32" s="1">
        <v>319.10000000000002</v>
      </c>
      <c r="BZ32" s="1">
        <v>35.07</v>
      </c>
      <c r="CA32" s="1">
        <v>5.28</v>
      </c>
      <c r="CB32" s="1">
        <v>51.36</v>
      </c>
      <c r="CC32" s="1">
        <v>8.06</v>
      </c>
      <c r="CD32" s="1">
        <v>57.73</v>
      </c>
      <c r="CE32" s="1">
        <v>7.0000000000000007E-2</v>
      </c>
      <c r="CF32" s="1">
        <v>62.2</v>
      </c>
      <c r="CG32" s="1">
        <v>0.22</v>
      </c>
      <c r="CH32" s="1">
        <v>45.85</v>
      </c>
      <c r="CI32" s="1">
        <v>0</v>
      </c>
      <c r="CJ32" s="1">
        <v>45.77</v>
      </c>
      <c r="CK32" s="1">
        <v>-0.01</v>
      </c>
      <c r="CL32" s="1">
        <v>44</v>
      </c>
      <c r="CM32" s="1">
        <v>-0.01</v>
      </c>
      <c r="CN32" s="1">
        <v>55.54</v>
      </c>
      <c r="CO32" s="1">
        <v>0.09</v>
      </c>
      <c r="CP32" s="1">
        <v>67.08</v>
      </c>
      <c r="CQ32" s="1">
        <v>0.18</v>
      </c>
      <c r="CR32" s="1">
        <v>70.930000000000007</v>
      </c>
      <c r="CS32" s="1">
        <v>53</v>
      </c>
      <c r="CT32" s="1">
        <v>53</v>
      </c>
      <c r="CU32" s="1">
        <v>37</v>
      </c>
      <c r="CV32" s="1">
        <v>40</v>
      </c>
      <c r="CW32" s="1">
        <v>40</v>
      </c>
      <c r="CX32" s="1">
        <v>46</v>
      </c>
      <c r="CY32" s="1">
        <v>57</v>
      </c>
      <c r="CZ32" s="1">
        <v>44</v>
      </c>
      <c r="DA32" s="1">
        <v>0</v>
      </c>
    </row>
    <row r="33" spans="1:105" x14ac:dyDescent="0.15">
      <c r="A33" s="1" t="s">
        <v>225</v>
      </c>
      <c r="B33" s="1" t="s">
        <v>435</v>
      </c>
      <c r="C33" s="1">
        <v>1</v>
      </c>
      <c r="D33" s="1">
        <v>18</v>
      </c>
      <c r="E33" s="1">
        <v>47</v>
      </c>
      <c r="F33" s="1">
        <v>120</v>
      </c>
      <c r="G33" s="1">
        <v>116</v>
      </c>
      <c r="H33" s="1">
        <v>4</v>
      </c>
      <c r="I33" s="1">
        <v>69</v>
      </c>
      <c r="J33" s="1">
        <v>62</v>
      </c>
      <c r="K33" s="1">
        <v>40</v>
      </c>
      <c r="L33" s="1">
        <v>58</v>
      </c>
      <c r="M33" s="1">
        <v>120</v>
      </c>
      <c r="N33" s="1">
        <v>116</v>
      </c>
      <c r="O33" s="1">
        <v>60</v>
      </c>
      <c r="P33" s="1">
        <v>64</v>
      </c>
      <c r="Q33" s="1">
        <v>29</v>
      </c>
      <c r="R33" s="1">
        <v>63</v>
      </c>
      <c r="S33" s="1">
        <v>127</v>
      </c>
      <c r="T33" s="1">
        <v>124</v>
      </c>
      <c r="U33" s="1">
        <v>247</v>
      </c>
      <c r="V33" s="1">
        <v>123</v>
      </c>
      <c r="W33" s="1">
        <v>120</v>
      </c>
      <c r="X33" s="1">
        <v>30</v>
      </c>
      <c r="Y33" s="1">
        <v>0</v>
      </c>
      <c r="Z33" s="1">
        <v>30</v>
      </c>
      <c r="AA33" s="1">
        <v>10</v>
      </c>
      <c r="AB33" s="1">
        <v>120</v>
      </c>
      <c r="AC33" s="1">
        <v>85</v>
      </c>
      <c r="AD33" s="1">
        <v>14</v>
      </c>
      <c r="AE33" s="1">
        <v>24</v>
      </c>
      <c r="AF33" s="1">
        <v>111</v>
      </c>
      <c r="AG33" s="1">
        <v>31</v>
      </c>
      <c r="AH33" s="1">
        <v>46</v>
      </c>
      <c r="AI33" s="1">
        <v>59</v>
      </c>
      <c r="AJ33" s="1">
        <v>56</v>
      </c>
      <c r="AK33" s="1">
        <v>7</v>
      </c>
      <c r="AL33" s="1">
        <v>7</v>
      </c>
      <c r="AM33" s="1">
        <v>9</v>
      </c>
      <c r="AN33" s="1">
        <v>23</v>
      </c>
      <c r="AO33" s="1">
        <v>40</v>
      </c>
      <c r="AP33" s="1">
        <v>9</v>
      </c>
      <c r="AQ33" s="1">
        <v>44</v>
      </c>
      <c r="AR33" s="1">
        <v>10</v>
      </c>
      <c r="AS33" s="1">
        <v>45</v>
      </c>
      <c r="AT33" s="1">
        <v>18</v>
      </c>
      <c r="AU33" s="1">
        <v>55</v>
      </c>
      <c r="AV33" s="1">
        <v>20</v>
      </c>
      <c r="AW33" s="1">
        <v>62</v>
      </c>
      <c r="AX33" s="1">
        <v>23</v>
      </c>
      <c r="AY33" s="1">
        <v>58</v>
      </c>
      <c r="AZ33" s="1">
        <v>1</v>
      </c>
      <c r="BA33" s="1">
        <v>9</v>
      </c>
      <c r="BB33" s="1">
        <v>9</v>
      </c>
      <c r="BC33" s="1">
        <v>19</v>
      </c>
      <c r="BD33" s="1">
        <v>43</v>
      </c>
      <c r="BE33" s="1">
        <v>10</v>
      </c>
      <c r="BF33" s="1">
        <v>54</v>
      </c>
      <c r="BG33" s="1">
        <v>13</v>
      </c>
      <c r="BH33" s="1">
        <v>15</v>
      </c>
      <c r="BI33" s="1">
        <v>13</v>
      </c>
      <c r="BJ33" s="1">
        <v>41</v>
      </c>
      <c r="BK33" s="1">
        <v>33</v>
      </c>
      <c r="BL33" s="1">
        <v>27</v>
      </c>
      <c r="BM33" s="1">
        <v>57</v>
      </c>
      <c r="BN33" s="1">
        <v>78</v>
      </c>
      <c r="BO33" s="1">
        <v>28</v>
      </c>
      <c r="BP33" s="1">
        <v>4.24</v>
      </c>
      <c r="BQ33" s="1">
        <v>4.24</v>
      </c>
      <c r="BR33" s="1">
        <v>3.12</v>
      </c>
      <c r="BS33" s="1">
        <v>3.87</v>
      </c>
      <c r="BT33" s="1">
        <v>63</v>
      </c>
      <c r="BU33" s="1">
        <v>1</v>
      </c>
      <c r="BV33" s="1">
        <v>45.43</v>
      </c>
      <c r="BW33" s="1">
        <v>15</v>
      </c>
      <c r="BX33" s="1">
        <v>50.84</v>
      </c>
      <c r="BY33" s="1">
        <v>320.2</v>
      </c>
      <c r="BZ33" s="1">
        <v>35.340000000000003</v>
      </c>
      <c r="CA33" s="1">
        <v>3.61</v>
      </c>
      <c r="CB33" s="1">
        <v>36.5</v>
      </c>
      <c r="CC33" s="1">
        <v>4.43</v>
      </c>
      <c r="CD33" s="1">
        <v>42.53</v>
      </c>
      <c r="CE33" s="1">
        <v>0.69</v>
      </c>
      <c r="CF33" s="1">
        <v>50.14</v>
      </c>
      <c r="CG33" s="1">
        <v>0.2</v>
      </c>
      <c r="CH33" s="1">
        <v>45.68</v>
      </c>
      <c r="CI33" s="1">
        <v>0</v>
      </c>
      <c r="CJ33" s="1">
        <v>45.77</v>
      </c>
      <c r="CK33" s="1">
        <v>0</v>
      </c>
      <c r="CL33" s="1">
        <v>48.45</v>
      </c>
      <c r="CM33" s="1">
        <v>7.0000000000000007E-2</v>
      </c>
      <c r="CN33" s="1">
        <v>70.040000000000006</v>
      </c>
      <c r="CO33" s="1">
        <v>0.03</v>
      </c>
      <c r="CP33" s="1">
        <v>44.82</v>
      </c>
      <c r="CQ33" s="1">
        <v>-0.02</v>
      </c>
      <c r="CR33" s="1">
        <v>48.37</v>
      </c>
      <c r="CS33" s="1">
        <v>54</v>
      </c>
      <c r="CT33" s="1">
        <v>63</v>
      </c>
      <c r="CU33" s="1">
        <v>60</v>
      </c>
      <c r="CV33" s="1">
        <v>40</v>
      </c>
      <c r="CW33" s="1">
        <v>43</v>
      </c>
      <c r="CX33" s="1">
        <v>58</v>
      </c>
      <c r="CY33" s="1">
        <v>28</v>
      </c>
      <c r="CZ33" s="1">
        <v>48</v>
      </c>
      <c r="DA33" s="1">
        <v>0</v>
      </c>
    </row>
    <row r="34" spans="1:105" x14ac:dyDescent="0.15">
      <c r="A34" s="1" t="s">
        <v>241</v>
      </c>
      <c r="B34" s="1" t="s">
        <v>436</v>
      </c>
      <c r="C34" s="1">
        <v>1</v>
      </c>
      <c r="D34" s="1">
        <v>16</v>
      </c>
      <c r="E34" s="1">
        <v>46</v>
      </c>
      <c r="F34" s="1">
        <v>119</v>
      </c>
      <c r="G34" s="1">
        <v>111</v>
      </c>
      <c r="H34" s="1">
        <v>8</v>
      </c>
      <c r="I34" s="1">
        <v>75</v>
      </c>
      <c r="J34" s="1">
        <v>68</v>
      </c>
      <c r="K34" s="1">
        <v>42</v>
      </c>
      <c r="L34" s="1">
        <v>61</v>
      </c>
      <c r="M34" s="1">
        <v>129</v>
      </c>
      <c r="N34" s="1">
        <v>125</v>
      </c>
      <c r="O34" s="1">
        <v>71</v>
      </c>
      <c r="P34" s="1">
        <v>72</v>
      </c>
      <c r="Q34" s="1">
        <v>25</v>
      </c>
      <c r="R34" s="1">
        <v>52</v>
      </c>
      <c r="S34" s="1">
        <v>124</v>
      </c>
      <c r="T34" s="1">
        <v>120</v>
      </c>
      <c r="U34" s="1">
        <v>253</v>
      </c>
      <c r="V34" s="1">
        <v>126</v>
      </c>
      <c r="W34" s="1">
        <v>120</v>
      </c>
      <c r="X34" s="1">
        <v>33</v>
      </c>
      <c r="Y34" s="1">
        <v>0</v>
      </c>
      <c r="Z34" s="1">
        <v>33</v>
      </c>
      <c r="AA34" s="1">
        <v>10</v>
      </c>
      <c r="AB34" s="1">
        <v>120</v>
      </c>
      <c r="AC34" s="1">
        <v>78</v>
      </c>
      <c r="AD34" s="1">
        <v>11</v>
      </c>
      <c r="AE34" s="1">
        <v>21</v>
      </c>
      <c r="AF34" s="1">
        <v>102</v>
      </c>
      <c r="AG34" s="1">
        <v>22</v>
      </c>
      <c r="AH34" s="1">
        <v>54</v>
      </c>
      <c r="AI34" s="1">
        <v>64</v>
      </c>
      <c r="AJ34" s="1">
        <v>57</v>
      </c>
      <c r="AK34" s="1">
        <v>4</v>
      </c>
      <c r="AL34" s="1">
        <v>11</v>
      </c>
      <c r="AM34" s="1">
        <v>10</v>
      </c>
      <c r="AN34" s="1">
        <v>25</v>
      </c>
      <c r="AO34" s="1">
        <v>43</v>
      </c>
      <c r="AP34" s="1">
        <v>10</v>
      </c>
      <c r="AQ34" s="1">
        <v>50</v>
      </c>
      <c r="AR34" s="1">
        <v>11</v>
      </c>
      <c r="AS34" s="1">
        <v>50</v>
      </c>
      <c r="AT34" s="1">
        <v>19</v>
      </c>
      <c r="AU34" s="1">
        <v>55</v>
      </c>
      <c r="AV34" s="1">
        <v>15</v>
      </c>
      <c r="AW34" s="1">
        <v>45</v>
      </c>
      <c r="AX34" s="1">
        <v>25</v>
      </c>
      <c r="AY34" s="1">
        <v>59</v>
      </c>
      <c r="AZ34" s="1">
        <v>4</v>
      </c>
      <c r="BA34" s="1">
        <v>9</v>
      </c>
      <c r="BB34" s="1">
        <v>11</v>
      </c>
      <c r="BC34" s="1">
        <v>24</v>
      </c>
      <c r="BD34" s="1">
        <v>46</v>
      </c>
      <c r="BE34" s="1">
        <v>10</v>
      </c>
      <c r="BF34" s="1">
        <v>51</v>
      </c>
      <c r="BG34" s="1">
        <v>21</v>
      </c>
      <c r="BH34" s="1">
        <v>16</v>
      </c>
      <c r="BI34" s="1">
        <v>14</v>
      </c>
      <c r="BJ34" s="1">
        <v>51</v>
      </c>
      <c r="BK34" s="1">
        <v>44</v>
      </c>
      <c r="BL34" s="1">
        <v>31</v>
      </c>
      <c r="BM34" s="1">
        <v>63</v>
      </c>
      <c r="BN34" s="1">
        <v>106</v>
      </c>
      <c r="BO34" s="1">
        <v>61</v>
      </c>
      <c r="BP34" s="1">
        <v>3.12</v>
      </c>
      <c r="BQ34" s="1">
        <v>2.68</v>
      </c>
      <c r="BR34" s="1">
        <v>2.4700000000000002</v>
      </c>
      <c r="BS34" s="1">
        <v>2.76</v>
      </c>
      <c r="BT34" s="1">
        <v>45</v>
      </c>
      <c r="BU34" s="1">
        <v>3</v>
      </c>
      <c r="BV34" s="1">
        <v>52.1</v>
      </c>
      <c r="BW34" s="1">
        <v>15</v>
      </c>
      <c r="BX34" s="1">
        <v>50.84</v>
      </c>
      <c r="BY34" s="1">
        <v>365.05</v>
      </c>
      <c r="BZ34" s="1">
        <v>45.7</v>
      </c>
      <c r="CA34" s="1">
        <v>4.12</v>
      </c>
      <c r="CB34" s="1">
        <v>41.74</v>
      </c>
      <c r="CC34" s="1">
        <v>4.4000000000000004</v>
      </c>
      <c r="CD34" s="1">
        <v>42.37</v>
      </c>
      <c r="CE34" s="1">
        <v>0.44</v>
      </c>
      <c r="CF34" s="1">
        <v>55.09</v>
      </c>
      <c r="CG34" s="1">
        <v>0.76</v>
      </c>
      <c r="CH34" s="1">
        <v>49.68</v>
      </c>
      <c r="CI34" s="1">
        <v>1</v>
      </c>
      <c r="CJ34" s="1">
        <v>66.92</v>
      </c>
      <c r="CK34" s="1">
        <v>0</v>
      </c>
      <c r="CL34" s="1">
        <v>50.7</v>
      </c>
      <c r="CM34" s="1">
        <v>-0.04</v>
      </c>
      <c r="CN34" s="1">
        <v>48.77</v>
      </c>
      <c r="CO34" s="1">
        <v>0.01</v>
      </c>
      <c r="CP34" s="1">
        <v>34.75</v>
      </c>
      <c r="CQ34" s="1">
        <v>-0.06</v>
      </c>
      <c r="CR34" s="1">
        <v>43.76</v>
      </c>
      <c r="CS34" s="1">
        <v>60</v>
      </c>
      <c r="CT34" s="1">
        <v>45</v>
      </c>
      <c r="CU34" s="1">
        <v>50</v>
      </c>
      <c r="CV34" s="1">
        <v>43</v>
      </c>
      <c r="CW34" s="1">
        <v>46</v>
      </c>
      <c r="CX34" s="1">
        <v>59</v>
      </c>
      <c r="CY34" s="1">
        <v>61</v>
      </c>
      <c r="CZ34" s="1">
        <v>53</v>
      </c>
      <c r="DA34" s="1">
        <v>0</v>
      </c>
    </row>
    <row r="35" spans="1:105" x14ac:dyDescent="0.15">
      <c r="A35" s="1" t="s">
        <v>239</v>
      </c>
      <c r="B35" s="1" t="s">
        <v>437</v>
      </c>
      <c r="C35" s="1">
        <v>3</v>
      </c>
      <c r="D35" s="1">
        <v>12</v>
      </c>
      <c r="E35" s="1">
        <v>31</v>
      </c>
      <c r="F35" s="1">
        <v>97</v>
      </c>
      <c r="G35" s="1">
        <v>98</v>
      </c>
      <c r="H35" s="1">
        <v>-1</v>
      </c>
      <c r="I35" s="1">
        <v>55</v>
      </c>
      <c r="J35" s="1">
        <v>49</v>
      </c>
      <c r="K35" s="1">
        <v>32</v>
      </c>
      <c r="L35" s="1">
        <v>44</v>
      </c>
      <c r="M35" s="1">
        <v>93</v>
      </c>
      <c r="N35" s="1">
        <v>95</v>
      </c>
      <c r="O35" s="1">
        <v>44</v>
      </c>
      <c r="P35" s="1">
        <v>50</v>
      </c>
      <c r="Q35" s="1">
        <v>24</v>
      </c>
      <c r="R35" s="1">
        <v>47</v>
      </c>
      <c r="S35" s="1">
        <v>97</v>
      </c>
      <c r="T35" s="1">
        <v>97</v>
      </c>
      <c r="U35" s="1">
        <v>191</v>
      </c>
      <c r="V35" s="1">
        <v>96</v>
      </c>
      <c r="W35" s="1">
        <v>120</v>
      </c>
      <c r="X35" s="1">
        <v>26</v>
      </c>
      <c r="Y35" s="1">
        <v>0</v>
      </c>
      <c r="Z35" s="1">
        <v>26</v>
      </c>
      <c r="AA35" s="1">
        <v>7</v>
      </c>
      <c r="AB35" s="1">
        <v>120</v>
      </c>
      <c r="AC35" s="1">
        <v>68</v>
      </c>
      <c r="AD35" s="1">
        <v>9</v>
      </c>
      <c r="AE35" s="1">
        <v>16</v>
      </c>
      <c r="AF35" s="1">
        <v>89</v>
      </c>
      <c r="AG35" s="1">
        <v>20</v>
      </c>
      <c r="AH35" s="1">
        <v>53</v>
      </c>
      <c r="AI35" s="1">
        <v>63</v>
      </c>
      <c r="AJ35" s="1">
        <v>51</v>
      </c>
      <c r="AK35" s="1">
        <v>7</v>
      </c>
      <c r="AL35" s="1">
        <v>10</v>
      </c>
      <c r="AM35" s="1">
        <v>10</v>
      </c>
      <c r="AN35" s="1">
        <v>27</v>
      </c>
      <c r="AO35" s="1">
        <v>46</v>
      </c>
      <c r="AP35" s="1">
        <v>9</v>
      </c>
      <c r="AQ35" s="1">
        <v>40</v>
      </c>
      <c r="AR35" s="1">
        <v>10</v>
      </c>
      <c r="AS35" s="1">
        <v>44</v>
      </c>
      <c r="AT35" s="1">
        <v>17</v>
      </c>
      <c r="AU35" s="1">
        <v>46</v>
      </c>
      <c r="AV35" s="1">
        <v>15</v>
      </c>
      <c r="AW35" s="1">
        <v>44</v>
      </c>
      <c r="AX35" s="1">
        <v>26</v>
      </c>
      <c r="AY35" s="1">
        <v>59</v>
      </c>
      <c r="AZ35" s="1">
        <v>5</v>
      </c>
      <c r="BA35" s="1">
        <v>9</v>
      </c>
      <c r="BB35" s="1">
        <v>9</v>
      </c>
      <c r="BC35" s="1">
        <v>23</v>
      </c>
      <c r="BD35" s="1">
        <v>39</v>
      </c>
      <c r="BE35" s="1">
        <v>10</v>
      </c>
      <c r="BF35" s="1">
        <v>46</v>
      </c>
      <c r="BG35" s="1">
        <v>14</v>
      </c>
      <c r="BH35" s="1">
        <v>13</v>
      </c>
      <c r="BI35" s="1">
        <v>13</v>
      </c>
      <c r="BJ35" s="1">
        <v>40</v>
      </c>
      <c r="BK35" s="1">
        <v>42</v>
      </c>
      <c r="BL35" s="1">
        <v>24</v>
      </c>
      <c r="BM35" s="1">
        <v>50</v>
      </c>
      <c r="BN35" s="1">
        <v>102</v>
      </c>
      <c r="BO35" s="1">
        <v>58</v>
      </c>
      <c r="BP35" s="1">
        <v>4.24</v>
      </c>
      <c r="BQ35" s="1">
        <v>4.24</v>
      </c>
      <c r="BR35" s="1">
        <v>3.62</v>
      </c>
      <c r="BS35" s="1">
        <v>4.03</v>
      </c>
      <c r="BT35" s="1">
        <v>63</v>
      </c>
      <c r="BU35" s="1">
        <v>1</v>
      </c>
      <c r="BV35" s="1">
        <v>43.87</v>
      </c>
      <c r="BW35" s="1">
        <v>9</v>
      </c>
      <c r="BX35" s="1">
        <v>43.17</v>
      </c>
      <c r="BY35" s="1">
        <v>341.9</v>
      </c>
      <c r="BZ35" s="1">
        <v>43.79</v>
      </c>
      <c r="CA35" s="1">
        <v>4.05</v>
      </c>
      <c r="CB35" s="1">
        <v>42.05</v>
      </c>
      <c r="CC35" s="1">
        <v>6.18</v>
      </c>
      <c r="CD35" s="1">
        <v>47.66</v>
      </c>
      <c r="CE35" s="1">
        <v>0.8</v>
      </c>
      <c r="CF35" s="1">
        <v>46.81</v>
      </c>
      <c r="CG35" s="1">
        <v>0.63</v>
      </c>
      <c r="CH35" s="1">
        <v>48.74</v>
      </c>
      <c r="CI35" s="1">
        <v>0</v>
      </c>
      <c r="CJ35" s="1">
        <v>44.54</v>
      </c>
      <c r="CK35" s="1">
        <v>-0.02</v>
      </c>
      <c r="CL35" s="1">
        <v>43.32</v>
      </c>
      <c r="CM35" s="1">
        <v>0.06</v>
      </c>
      <c r="CN35" s="1">
        <v>56.94</v>
      </c>
      <c r="CO35" s="1">
        <v>0.05</v>
      </c>
      <c r="CP35" s="1">
        <v>47.79</v>
      </c>
      <c r="CQ35" s="1">
        <v>0.05</v>
      </c>
      <c r="CR35" s="1">
        <v>53.51</v>
      </c>
      <c r="CS35" s="1">
        <v>52</v>
      </c>
      <c r="CT35" s="1">
        <v>63</v>
      </c>
      <c r="CU35" s="1">
        <v>44</v>
      </c>
      <c r="CV35" s="1">
        <v>46</v>
      </c>
      <c r="CW35" s="1">
        <v>39</v>
      </c>
      <c r="CX35" s="1">
        <v>59</v>
      </c>
      <c r="CY35" s="1">
        <v>58</v>
      </c>
      <c r="CZ35" s="1">
        <v>52</v>
      </c>
      <c r="DA35" s="1">
        <v>0</v>
      </c>
    </row>
    <row r="36" spans="1:105" x14ac:dyDescent="0.15">
      <c r="A36" s="1" t="s">
        <v>243</v>
      </c>
      <c r="B36" s="1" t="s">
        <v>438</v>
      </c>
      <c r="C36" s="1">
        <v>3</v>
      </c>
      <c r="D36" s="1">
        <v>14</v>
      </c>
      <c r="E36" s="1">
        <v>44</v>
      </c>
      <c r="F36" s="1">
        <v>116</v>
      </c>
      <c r="G36" s="1">
        <v>102</v>
      </c>
      <c r="H36" s="1">
        <v>14</v>
      </c>
      <c r="I36" s="1">
        <v>63</v>
      </c>
      <c r="J36" s="1">
        <v>54</v>
      </c>
      <c r="K36" s="1">
        <v>35</v>
      </c>
      <c r="L36" s="1">
        <v>49</v>
      </c>
      <c r="M36" s="1">
        <v>103</v>
      </c>
      <c r="N36" s="1">
        <v>102</v>
      </c>
      <c r="O36" s="1">
        <v>41</v>
      </c>
      <c r="P36" s="1">
        <v>51</v>
      </c>
      <c r="Q36" s="1">
        <v>22</v>
      </c>
      <c r="R36" s="1">
        <v>48</v>
      </c>
      <c r="S36" s="1">
        <v>99</v>
      </c>
      <c r="T36" s="1">
        <v>99</v>
      </c>
      <c r="U36" s="1">
        <v>202</v>
      </c>
      <c r="V36" s="1">
        <v>100</v>
      </c>
      <c r="W36" s="1">
        <v>120</v>
      </c>
      <c r="X36" s="1">
        <v>34</v>
      </c>
      <c r="Y36" s="1">
        <v>0</v>
      </c>
      <c r="Z36" s="1">
        <v>34</v>
      </c>
      <c r="AA36" s="1">
        <v>11</v>
      </c>
      <c r="AB36" s="1">
        <v>120</v>
      </c>
      <c r="AC36" s="1">
        <v>70</v>
      </c>
      <c r="AD36" s="1">
        <v>10</v>
      </c>
      <c r="AE36" s="1">
        <v>21</v>
      </c>
      <c r="AF36" s="1">
        <v>102</v>
      </c>
      <c r="AG36" s="1">
        <v>31</v>
      </c>
      <c r="AH36" s="1">
        <v>46</v>
      </c>
      <c r="AI36" s="1">
        <v>62</v>
      </c>
      <c r="AJ36" s="1">
        <v>55</v>
      </c>
      <c r="AK36" s="1">
        <v>8</v>
      </c>
      <c r="AL36" s="1">
        <v>11</v>
      </c>
      <c r="AM36" s="1">
        <v>12</v>
      </c>
      <c r="AN36" s="1">
        <v>31</v>
      </c>
      <c r="AO36" s="1">
        <v>56</v>
      </c>
      <c r="AP36" s="1">
        <v>12</v>
      </c>
      <c r="AQ36" s="1">
        <v>59</v>
      </c>
      <c r="AR36" s="1">
        <v>12</v>
      </c>
      <c r="AS36" s="1">
        <v>57</v>
      </c>
      <c r="AT36" s="1">
        <v>13</v>
      </c>
      <c r="AU36" s="1">
        <v>42</v>
      </c>
      <c r="AV36" s="1">
        <v>19</v>
      </c>
      <c r="AW36" s="1">
        <v>61</v>
      </c>
      <c r="AX36" s="1">
        <v>19</v>
      </c>
      <c r="AY36" s="1">
        <v>50</v>
      </c>
      <c r="AZ36" s="1">
        <v>4</v>
      </c>
      <c r="BA36" s="1">
        <v>5</v>
      </c>
      <c r="BB36" s="1">
        <v>9</v>
      </c>
      <c r="BC36" s="1">
        <v>18</v>
      </c>
      <c r="BD36" s="1">
        <v>39</v>
      </c>
      <c r="BE36" s="1">
        <v>9</v>
      </c>
      <c r="BF36" s="1">
        <v>48</v>
      </c>
      <c r="BG36" s="1">
        <v>15</v>
      </c>
      <c r="BH36" s="1">
        <v>13</v>
      </c>
      <c r="BI36" s="1">
        <v>16</v>
      </c>
      <c r="BJ36" s="1">
        <v>44</v>
      </c>
      <c r="BK36" s="1">
        <v>45</v>
      </c>
      <c r="BL36" s="1">
        <v>18</v>
      </c>
      <c r="BM36" s="1">
        <v>40</v>
      </c>
      <c r="BN36" s="1">
        <v>107</v>
      </c>
      <c r="BO36" s="1">
        <v>60</v>
      </c>
      <c r="BP36" s="1">
        <v>3.34</v>
      </c>
      <c r="BQ36" s="1">
        <v>2.25</v>
      </c>
      <c r="BR36" s="1">
        <v>1.05</v>
      </c>
      <c r="BS36" s="1">
        <v>2.21</v>
      </c>
      <c r="BT36" s="1">
        <v>40</v>
      </c>
      <c r="BU36" s="1">
        <v>0</v>
      </c>
      <c r="BV36" s="1">
        <v>42.82</v>
      </c>
      <c r="BW36" s="1">
        <v>4</v>
      </c>
      <c r="BX36" s="1">
        <v>39.25</v>
      </c>
      <c r="BY36" s="1">
        <v>447.93</v>
      </c>
      <c r="BZ36" s="1">
        <v>57.83</v>
      </c>
      <c r="CA36" s="1">
        <v>6.77</v>
      </c>
      <c r="CB36" s="1">
        <v>60.88</v>
      </c>
      <c r="CC36" s="1">
        <v>8.2899999999999991</v>
      </c>
      <c r="CD36" s="1">
        <v>57.01</v>
      </c>
      <c r="CE36" s="1">
        <v>1.19</v>
      </c>
      <c r="CF36" s="1">
        <v>42.4</v>
      </c>
      <c r="CG36" s="1">
        <v>0.65</v>
      </c>
      <c r="CH36" s="1">
        <v>49.22</v>
      </c>
      <c r="CI36" s="1">
        <v>0</v>
      </c>
      <c r="CJ36" s="1">
        <v>45.91</v>
      </c>
      <c r="CK36" s="1">
        <v>-0.03</v>
      </c>
      <c r="CL36" s="1">
        <v>34.909999999999997</v>
      </c>
      <c r="CM36" s="1">
        <v>0.03</v>
      </c>
      <c r="CN36" s="1">
        <v>60.95</v>
      </c>
      <c r="CO36" s="1">
        <v>0.09</v>
      </c>
      <c r="CP36" s="1">
        <v>64.400000000000006</v>
      </c>
      <c r="CQ36" s="1">
        <v>0.14000000000000001</v>
      </c>
      <c r="CR36" s="1">
        <v>67.06</v>
      </c>
      <c r="CS36" s="1">
        <v>46</v>
      </c>
      <c r="CT36" s="1">
        <v>40</v>
      </c>
      <c r="CU36" s="1">
        <v>52</v>
      </c>
      <c r="CV36" s="1">
        <v>56</v>
      </c>
      <c r="CW36" s="1">
        <v>39</v>
      </c>
      <c r="CX36" s="1">
        <v>50</v>
      </c>
      <c r="CY36" s="1">
        <v>60</v>
      </c>
      <c r="CZ36" s="1">
        <v>48</v>
      </c>
      <c r="DA36" s="1">
        <v>0</v>
      </c>
    </row>
    <row r="37" spans="1:105" x14ac:dyDescent="0.15">
      <c r="A37" s="1" t="s">
        <v>247</v>
      </c>
      <c r="B37" s="1" t="s">
        <v>439</v>
      </c>
      <c r="C37" s="1">
        <v>3</v>
      </c>
      <c r="D37" s="1">
        <v>16</v>
      </c>
      <c r="E37" s="1">
        <v>46</v>
      </c>
      <c r="F37" s="1">
        <v>122</v>
      </c>
      <c r="G37" s="1">
        <v>106</v>
      </c>
      <c r="H37" s="1">
        <v>16</v>
      </c>
      <c r="I37" s="1">
        <v>58</v>
      </c>
      <c r="J37" s="1">
        <v>52</v>
      </c>
      <c r="K37" s="1">
        <v>37</v>
      </c>
      <c r="L37" s="1">
        <v>54</v>
      </c>
      <c r="M37" s="1">
        <v>106</v>
      </c>
      <c r="N37" s="1">
        <v>105</v>
      </c>
      <c r="O37" s="1">
        <v>59</v>
      </c>
      <c r="P37" s="1">
        <v>60</v>
      </c>
      <c r="Q37" s="1">
        <v>28</v>
      </c>
      <c r="R37" s="1">
        <v>55</v>
      </c>
      <c r="S37" s="1">
        <v>115</v>
      </c>
      <c r="T37" s="1">
        <v>111</v>
      </c>
      <c r="U37" s="1">
        <v>221</v>
      </c>
      <c r="V37" s="1">
        <v>109</v>
      </c>
      <c r="W37" s="1">
        <v>120</v>
      </c>
      <c r="X37" s="1">
        <v>36</v>
      </c>
      <c r="Y37" s="1">
        <v>0</v>
      </c>
      <c r="Z37" s="1">
        <v>36</v>
      </c>
      <c r="AA37" s="1">
        <v>11</v>
      </c>
      <c r="AB37" s="1">
        <v>120</v>
      </c>
      <c r="AC37" s="1">
        <v>78</v>
      </c>
      <c r="AD37" s="1">
        <v>11</v>
      </c>
      <c r="AE37" s="1">
        <v>22</v>
      </c>
      <c r="AF37" s="1">
        <v>105</v>
      </c>
      <c r="AG37" s="1">
        <v>21</v>
      </c>
      <c r="AH37" s="1">
        <v>52</v>
      </c>
      <c r="AI37" s="1">
        <v>64</v>
      </c>
      <c r="AJ37" s="1">
        <v>51</v>
      </c>
      <c r="AK37" s="1">
        <v>7</v>
      </c>
      <c r="AL37" s="1">
        <v>10</v>
      </c>
      <c r="AM37" s="1">
        <v>11</v>
      </c>
      <c r="AN37" s="1">
        <v>28</v>
      </c>
      <c r="AO37" s="1">
        <v>48</v>
      </c>
      <c r="AP37" s="1">
        <v>10</v>
      </c>
      <c r="AQ37" s="1">
        <v>47</v>
      </c>
      <c r="AR37" s="1">
        <v>11</v>
      </c>
      <c r="AS37" s="1">
        <v>51</v>
      </c>
      <c r="AT37" s="1">
        <v>18</v>
      </c>
      <c r="AU37" s="1">
        <v>49</v>
      </c>
      <c r="AV37" s="1">
        <v>14</v>
      </c>
      <c r="AW37" s="1">
        <v>41</v>
      </c>
      <c r="AX37" s="1">
        <v>24</v>
      </c>
      <c r="AY37" s="1">
        <v>50</v>
      </c>
      <c r="AZ37" s="1">
        <v>4</v>
      </c>
      <c r="BA37" s="1">
        <v>7</v>
      </c>
      <c r="BB37" s="1">
        <v>10</v>
      </c>
      <c r="BC37" s="1">
        <v>21</v>
      </c>
      <c r="BD37" s="1">
        <v>35</v>
      </c>
      <c r="BE37" s="1">
        <v>9</v>
      </c>
      <c r="BF37" s="1">
        <v>39</v>
      </c>
      <c r="BG37" s="1">
        <v>15</v>
      </c>
      <c r="BH37" s="1">
        <v>14</v>
      </c>
      <c r="BI37" s="1">
        <v>16</v>
      </c>
      <c r="BJ37" s="1">
        <v>45</v>
      </c>
      <c r="BK37" s="1">
        <v>39</v>
      </c>
      <c r="BL37" s="1">
        <v>18</v>
      </c>
      <c r="BM37" s="1">
        <v>39</v>
      </c>
      <c r="BN37" s="1">
        <v>105</v>
      </c>
      <c r="BO37" s="1">
        <v>62</v>
      </c>
      <c r="BP37" s="1">
        <v>4.24</v>
      </c>
      <c r="BQ37" s="1">
        <v>3.09</v>
      </c>
      <c r="BR37" s="1">
        <v>1.54</v>
      </c>
      <c r="BS37" s="1">
        <v>2.96</v>
      </c>
      <c r="BT37" s="1">
        <v>47</v>
      </c>
      <c r="BU37" s="1">
        <v>0</v>
      </c>
      <c r="BV37" s="1">
        <v>40.86</v>
      </c>
      <c r="BW37" s="1">
        <v>12</v>
      </c>
      <c r="BX37" s="1">
        <v>47.03</v>
      </c>
      <c r="BY37" s="1">
        <v>317.93</v>
      </c>
      <c r="BZ37" s="1">
        <v>39.369999999999997</v>
      </c>
      <c r="CA37" s="1">
        <v>3.5</v>
      </c>
      <c r="CB37" s="1">
        <v>37.72</v>
      </c>
      <c r="CC37" s="1">
        <v>4.53</v>
      </c>
      <c r="CD37" s="1">
        <v>41.99</v>
      </c>
      <c r="CE37" s="1">
        <v>0.59</v>
      </c>
      <c r="CF37" s="1">
        <v>51.33</v>
      </c>
      <c r="CG37" s="1">
        <v>0</v>
      </c>
      <c r="CH37" s="1">
        <v>41.83</v>
      </c>
      <c r="CI37" s="1">
        <v>1</v>
      </c>
      <c r="CJ37" s="1">
        <v>50.91</v>
      </c>
      <c r="CK37" s="1">
        <v>0.01</v>
      </c>
      <c r="CL37" s="1">
        <v>53.18</v>
      </c>
      <c r="CM37" s="1">
        <v>0.08</v>
      </c>
      <c r="CN37" s="1">
        <v>60.2</v>
      </c>
      <c r="CO37" s="1">
        <v>0.05</v>
      </c>
      <c r="CP37" s="1">
        <v>50.4</v>
      </c>
      <c r="CQ37" s="1">
        <v>-0.12</v>
      </c>
      <c r="CR37" s="1">
        <v>38.299999999999997</v>
      </c>
      <c r="CS37" s="1">
        <v>46</v>
      </c>
      <c r="CT37" s="1">
        <v>47</v>
      </c>
      <c r="CU37" s="1">
        <v>44</v>
      </c>
      <c r="CV37" s="1">
        <v>48</v>
      </c>
      <c r="CW37" s="1">
        <v>35</v>
      </c>
      <c r="CX37" s="1">
        <v>50</v>
      </c>
      <c r="CY37" s="1">
        <v>62</v>
      </c>
      <c r="CZ37" s="1">
        <v>46</v>
      </c>
      <c r="DA37" s="1">
        <v>0</v>
      </c>
    </row>
    <row r="38" spans="1:105" x14ac:dyDescent="0.15">
      <c r="A38" s="1" t="s">
        <v>253</v>
      </c>
      <c r="B38" s="1" t="s">
        <v>440</v>
      </c>
      <c r="C38" s="1">
        <v>3</v>
      </c>
      <c r="D38" s="1">
        <v>12</v>
      </c>
      <c r="E38" s="1">
        <v>43</v>
      </c>
      <c r="F38" s="1">
        <v>114</v>
      </c>
      <c r="G38" s="1">
        <v>98</v>
      </c>
      <c r="H38" s="1">
        <v>16</v>
      </c>
      <c r="I38" s="1">
        <v>58</v>
      </c>
      <c r="J38" s="1">
        <v>49</v>
      </c>
      <c r="K38" s="1">
        <v>38</v>
      </c>
      <c r="L38" s="1">
        <v>53</v>
      </c>
      <c r="M38" s="1">
        <v>102</v>
      </c>
      <c r="N38" s="1">
        <v>101</v>
      </c>
      <c r="O38" s="1">
        <v>58</v>
      </c>
      <c r="P38" s="1">
        <v>62</v>
      </c>
      <c r="Q38" s="1">
        <v>25</v>
      </c>
      <c r="R38" s="1">
        <v>52</v>
      </c>
      <c r="S38" s="1">
        <v>114</v>
      </c>
      <c r="T38" s="1">
        <v>110</v>
      </c>
      <c r="U38" s="1">
        <v>216</v>
      </c>
      <c r="V38" s="1">
        <v>107</v>
      </c>
      <c r="W38" s="1">
        <v>120</v>
      </c>
      <c r="X38" s="1">
        <v>32</v>
      </c>
      <c r="Y38" s="1">
        <v>2</v>
      </c>
      <c r="Z38" s="1">
        <v>30</v>
      </c>
      <c r="AA38" s="1">
        <v>9</v>
      </c>
      <c r="AB38" s="1">
        <v>120</v>
      </c>
      <c r="AC38" s="1">
        <v>56</v>
      </c>
      <c r="AD38" s="1">
        <v>7</v>
      </c>
      <c r="AE38" s="1">
        <v>16</v>
      </c>
      <c r="AF38" s="1">
        <v>89</v>
      </c>
      <c r="AG38" s="1">
        <v>21</v>
      </c>
      <c r="AH38" s="1">
        <v>58</v>
      </c>
      <c r="AI38" s="1">
        <v>51</v>
      </c>
      <c r="AJ38" s="1">
        <v>43</v>
      </c>
      <c r="AK38" s="1">
        <v>4</v>
      </c>
      <c r="AL38" s="1">
        <v>7</v>
      </c>
      <c r="AM38" s="1">
        <v>10</v>
      </c>
      <c r="AN38" s="1">
        <v>21</v>
      </c>
      <c r="AO38" s="1">
        <v>35</v>
      </c>
      <c r="AP38" s="1">
        <v>7</v>
      </c>
      <c r="AQ38" s="1">
        <v>35</v>
      </c>
      <c r="AR38" s="1">
        <v>8</v>
      </c>
      <c r="AS38" s="1">
        <v>20</v>
      </c>
      <c r="AT38" s="1">
        <v>19</v>
      </c>
      <c r="AU38" s="1">
        <v>61</v>
      </c>
      <c r="AV38" s="1">
        <v>13</v>
      </c>
      <c r="AW38" s="1">
        <v>43</v>
      </c>
      <c r="AX38" s="1">
        <v>26</v>
      </c>
      <c r="AY38" s="1">
        <v>69</v>
      </c>
      <c r="AZ38" s="1">
        <v>4</v>
      </c>
      <c r="BA38" s="1">
        <v>8</v>
      </c>
      <c r="BB38" s="1">
        <v>10</v>
      </c>
      <c r="BC38" s="1">
        <v>22</v>
      </c>
      <c r="BD38" s="1">
        <v>45</v>
      </c>
      <c r="BE38" s="1">
        <v>8</v>
      </c>
      <c r="BF38" s="1">
        <v>41</v>
      </c>
      <c r="BG38" s="1">
        <v>14</v>
      </c>
      <c r="BH38" s="1">
        <v>8</v>
      </c>
      <c r="BI38" s="1">
        <v>9</v>
      </c>
      <c r="BJ38" s="1">
        <v>31</v>
      </c>
      <c r="BK38" s="1">
        <v>39</v>
      </c>
      <c r="BL38" s="1">
        <v>20</v>
      </c>
      <c r="BM38" s="1">
        <v>44</v>
      </c>
      <c r="BN38" s="1">
        <v>102</v>
      </c>
      <c r="BO38" s="1">
        <v>55</v>
      </c>
      <c r="BP38" s="1">
        <v>3.96</v>
      </c>
      <c r="BQ38" s="1">
        <v>2.56</v>
      </c>
      <c r="BR38" s="1">
        <v>0.97</v>
      </c>
      <c r="BS38" s="1">
        <v>2.5</v>
      </c>
      <c r="BT38" s="1">
        <v>44</v>
      </c>
      <c r="BU38" s="1">
        <v>0</v>
      </c>
      <c r="BV38" s="1">
        <v>42.1</v>
      </c>
      <c r="BW38" s="1">
        <v>7</v>
      </c>
      <c r="BX38" s="1">
        <v>41.53</v>
      </c>
      <c r="BY38" s="1">
        <v>345.57</v>
      </c>
      <c r="BZ38" s="1">
        <v>41.37</v>
      </c>
      <c r="CA38" s="1">
        <v>3.14</v>
      </c>
      <c r="CB38" s="1">
        <v>31.12</v>
      </c>
      <c r="CC38" s="1">
        <v>3.03</v>
      </c>
      <c r="CD38" s="1">
        <v>32.909999999999997</v>
      </c>
      <c r="CE38" s="1">
        <v>0.82</v>
      </c>
      <c r="CF38" s="1">
        <v>47.57</v>
      </c>
      <c r="CG38" s="1">
        <v>0.46</v>
      </c>
      <c r="CH38" s="1">
        <v>47.54</v>
      </c>
      <c r="CI38" s="1">
        <v>0</v>
      </c>
      <c r="CJ38" s="1">
        <v>45.77</v>
      </c>
      <c r="CK38" s="1">
        <v>0</v>
      </c>
      <c r="CL38" s="1">
        <v>47.83</v>
      </c>
      <c r="CM38" s="1">
        <v>0.01</v>
      </c>
      <c r="CN38" s="1">
        <v>59.33</v>
      </c>
      <c r="CO38" s="1">
        <v>0.03</v>
      </c>
      <c r="CP38" s="1">
        <v>43.66</v>
      </c>
      <c r="CQ38" s="1">
        <v>0.03</v>
      </c>
      <c r="CR38" s="1">
        <v>53.6</v>
      </c>
      <c r="CS38" s="1">
        <v>47</v>
      </c>
      <c r="CT38" s="1">
        <v>44</v>
      </c>
      <c r="CU38" s="1">
        <v>52</v>
      </c>
      <c r="CV38" s="1">
        <v>35</v>
      </c>
      <c r="CW38" s="1">
        <v>45</v>
      </c>
      <c r="CX38" s="1">
        <v>69</v>
      </c>
      <c r="CY38" s="1">
        <v>55</v>
      </c>
      <c r="CZ38" s="1">
        <v>49</v>
      </c>
      <c r="DA38" s="1">
        <v>0</v>
      </c>
    </row>
    <row r="39" spans="1:105" x14ac:dyDescent="0.15">
      <c r="A39" s="1" t="s">
        <v>245</v>
      </c>
      <c r="B39" s="1" t="s">
        <v>441</v>
      </c>
      <c r="C39" s="1">
        <v>3</v>
      </c>
      <c r="D39" s="1">
        <v>12</v>
      </c>
      <c r="E39" s="1">
        <v>44</v>
      </c>
      <c r="F39" s="1">
        <v>118</v>
      </c>
      <c r="G39" s="1">
        <v>98</v>
      </c>
      <c r="H39" s="1">
        <v>20</v>
      </c>
      <c r="I39" s="1">
        <v>62</v>
      </c>
      <c r="J39" s="1">
        <v>58</v>
      </c>
      <c r="K39" s="1">
        <v>41</v>
      </c>
      <c r="L39" s="1">
        <v>60</v>
      </c>
      <c r="M39" s="1">
        <v>118</v>
      </c>
      <c r="N39" s="1">
        <v>114</v>
      </c>
      <c r="O39" s="1">
        <v>59</v>
      </c>
      <c r="P39" s="1">
        <v>60</v>
      </c>
      <c r="Q39" s="1">
        <v>27</v>
      </c>
      <c r="R39" s="1">
        <v>53</v>
      </c>
      <c r="S39" s="1">
        <v>113</v>
      </c>
      <c r="T39" s="1">
        <v>109</v>
      </c>
      <c r="U39" s="1">
        <v>231</v>
      </c>
      <c r="V39" s="1">
        <v>114</v>
      </c>
      <c r="W39" s="1">
        <v>120</v>
      </c>
      <c r="X39" s="1">
        <v>51</v>
      </c>
      <c r="Y39" s="1">
        <v>4</v>
      </c>
      <c r="Z39" s="1">
        <v>47</v>
      </c>
      <c r="AA39" s="1">
        <v>15</v>
      </c>
      <c r="AB39" s="1">
        <v>120</v>
      </c>
      <c r="AC39" s="1">
        <v>89</v>
      </c>
      <c r="AD39" s="1">
        <v>13</v>
      </c>
      <c r="AE39" s="1">
        <v>28</v>
      </c>
      <c r="AF39" s="1">
        <v>122</v>
      </c>
      <c r="AG39" s="1">
        <v>15</v>
      </c>
      <c r="AH39" s="1">
        <v>63</v>
      </c>
      <c r="AI39" s="1">
        <v>67</v>
      </c>
      <c r="AJ39" s="1">
        <v>51</v>
      </c>
      <c r="AK39" s="1">
        <v>6</v>
      </c>
      <c r="AL39" s="1">
        <v>11</v>
      </c>
      <c r="AM39" s="1">
        <v>12</v>
      </c>
      <c r="AN39" s="1">
        <v>29</v>
      </c>
      <c r="AO39" s="1">
        <v>49</v>
      </c>
      <c r="AP39" s="1">
        <v>10</v>
      </c>
      <c r="AQ39" s="1">
        <v>47</v>
      </c>
      <c r="AR39" s="1">
        <v>11</v>
      </c>
      <c r="AS39" s="1">
        <v>51</v>
      </c>
      <c r="AT39" s="1">
        <v>15</v>
      </c>
      <c r="AU39" s="1">
        <v>43</v>
      </c>
      <c r="AV39" s="1">
        <v>15</v>
      </c>
      <c r="AW39" s="1">
        <v>47</v>
      </c>
      <c r="AX39" s="1">
        <v>26</v>
      </c>
      <c r="AY39" s="1">
        <v>61</v>
      </c>
      <c r="AZ39" s="1">
        <v>4</v>
      </c>
      <c r="BA39" s="1">
        <v>9</v>
      </c>
      <c r="BB39" s="1">
        <v>9</v>
      </c>
      <c r="BC39" s="1">
        <v>22</v>
      </c>
      <c r="BD39" s="1">
        <v>36</v>
      </c>
      <c r="BE39" s="1">
        <v>8</v>
      </c>
      <c r="BF39" s="1">
        <v>31</v>
      </c>
      <c r="BG39" s="1">
        <v>22</v>
      </c>
      <c r="BH39" s="1">
        <v>15</v>
      </c>
      <c r="BI39" s="1">
        <v>11</v>
      </c>
      <c r="BJ39" s="1">
        <v>48</v>
      </c>
      <c r="BK39" s="1">
        <v>50</v>
      </c>
      <c r="BL39" s="1">
        <v>29</v>
      </c>
      <c r="BM39" s="1">
        <v>59</v>
      </c>
      <c r="BN39" s="1">
        <v>97</v>
      </c>
      <c r="BO39" s="1">
        <v>52</v>
      </c>
      <c r="BP39" s="1">
        <v>3.62</v>
      </c>
      <c r="BQ39" s="1">
        <v>3.4</v>
      </c>
      <c r="BR39" s="1">
        <v>2.61</v>
      </c>
      <c r="BS39" s="1">
        <v>3.21</v>
      </c>
      <c r="BT39" s="1">
        <v>52</v>
      </c>
      <c r="BU39" s="1">
        <v>0</v>
      </c>
      <c r="BV39" s="1">
        <v>44.87</v>
      </c>
      <c r="BW39" s="1">
        <v>16</v>
      </c>
      <c r="BX39" s="1">
        <v>58.23</v>
      </c>
      <c r="BY39" s="1">
        <v>367.8</v>
      </c>
      <c r="BZ39" s="1">
        <v>45.7</v>
      </c>
      <c r="CA39" s="1">
        <v>6.01</v>
      </c>
      <c r="CB39" s="1">
        <v>54.65</v>
      </c>
      <c r="CC39" s="1">
        <v>9.5399999999999991</v>
      </c>
      <c r="CD39" s="1">
        <v>56.73</v>
      </c>
      <c r="CE39" s="1">
        <v>0.47</v>
      </c>
      <c r="CF39" s="1">
        <v>59.09</v>
      </c>
      <c r="CG39" s="1">
        <v>0.15</v>
      </c>
      <c r="CH39" s="1">
        <v>44.61</v>
      </c>
      <c r="CI39" s="1">
        <v>0</v>
      </c>
      <c r="CJ39" s="1">
        <v>46.79</v>
      </c>
      <c r="CK39" s="1">
        <v>-0.01</v>
      </c>
      <c r="CL39" s="1">
        <v>42.86</v>
      </c>
      <c r="CM39" s="1">
        <v>-0.05</v>
      </c>
      <c r="CN39" s="1">
        <v>44.82</v>
      </c>
      <c r="CO39" s="1">
        <v>0.09</v>
      </c>
      <c r="CP39" s="1">
        <v>62.15</v>
      </c>
      <c r="CQ39" s="1">
        <v>0.17</v>
      </c>
      <c r="CR39" s="1">
        <v>63.57</v>
      </c>
      <c r="CS39" s="1">
        <v>60</v>
      </c>
      <c r="CT39" s="1">
        <v>52</v>
      </c>
      <c r="CU39" s="1">
        <v>44</v>
      </c>
      <c r="CV39" s="1">
        <v>49</v>
      </c>
      <c r="CW39" s="1">
        <v>36</v>
      </c>
      <c r="CX39" s="1">
        <v>61</v>
      </c>
      <c r="CY39" s="1">
        <v>52</v>
      </c>
      <c r="CZ39" s="1">
        <v>51</v>
      </c>
      <c r="DA39" s="1">
        <v>0</v>
      </c>
    </row>
    <row r="40" spans="1:105" x14ac:dyDescent="0.15">
      <c r="A40" s="1" t="s">
        <v>252</v>
      </c>
      <c r="B40" s="1" t="s">
        <v>442</v>
      </c>
      <c r="C40" s="1">
        <v>1</v>
      </c>
      <c r="D40" s="1">
        <v>12</v>
      </c>
      <c r="E40" s="1">
        <v>44</v>
      </c>
      <c r="F40" s="1">
        <v>117</v>
      </c>
      <c r="G40" s="1">
        <v>99</v>
      </c>
      <c r="H40" s="1">
        <v>18</v>
      </c>
      <c r="I40" s="1">
        <v>64</v>
      </c>
      <c r="J40" s="1">
        <v>58</v>
      </c>
      <c r="K40" s="1">
        <v>39</v>
      </c>
      <c r="L40" s="1">
        <v>55</v>
      </c>
      <c r="M40" s="1">
        <v>113</v>
      </c>
      <c r="N40" s="1">
        <v>109</v>
      </c>
      <c r="O40" s="1">
        <v>65</v>
      </c>
      <c r="P40" s="1">
        <v>66</v>
      </c>
      <c r="Q40" s="1">
        <v>31</v>
      </c>
      <c r="R40" s="1">
        <v>64</v>
      </c>
      <c r="S40" s="1">
        <v>130</v>
      </c>
      <c r="T40" s="1">
        <v>127</v>
      </c>
      <c r="U40" s="1">
        <v>243</v>
      </c>
      <c r="V40" s="1">
        <v>120</v>
      </c>
      <c r="W40" s="1">
        <v>120</v>
      </c>
      <c r="X40" s="1">
        <v>52</v>
      </c>
      <c r="Y40" s="1">
        <v>1</v>
      </c>
      <c r="Z40" s="1">
        <v>51</v>
      </c>
      <c r="AA40" s="1">
        <v>18</v>
      </c>
      <c r="AB40" s="1">
        <v>120</v>
      </c>
      <c r="AC40" s="1">
        <v>87</v>
      </c>
      <c r="AD40" s="1">
        <v>13</v>
      </c>
      <c r="AE40" s="1">
        <v>31</v>
      </c>
      <c r="AF40" s="1">
        <v>129</v>
      </c>
      <c r="AG40" s="1">
        <v>17</v>
      </c>
      <c r="AH40" s="1">
        <v>61</v>
      </c>
      <c r="AI40" s="1">
        <v>57</v>
      </c>
      <c r="AJ40" s="1">
        <v>47</v>
      </c>
      <c r="AK40" s="1">
        <v>8</v>
      </c>
      <c r="AL40" s="1">
        <v>12</v>
      </c>
      <c r="AM40" s="1">
        <v>12</v>
      </c>
      <c r="AN40" s="1">
        <v>32</v>
      </c>
      <c r="AO40" s="1">
        <v>60</v>
      </c>
      <c r="AP40" s="1">
        <v>11</v>
      </c>
      <c r="AQ40" s="1">
        <v>54</v>
      </c>
      <c r="AR40" s="1">
        <v>12</v>
      </c>
      <c r="AS40" s="1">
        <v>58</v>
      </c>
      <c r="AT40" s="1">
        <v>13</v>
      </c>
      <c r="AU40" s="1">
        <v>34</v>
      </c>
      <c r="AV40" s="1">
        <v>18</v>
      </c>
      <c r="AW40" s="1">
        <v>54</v>
      </c>
      <c r="AX40" s="1">
        <v>26</v>
      </c>
      <c r="AY40" s="1">
        <v>62</v>
      </c>
      <c r="AZ40" s="1">
        <v>9</v>
      </c>
      <c r="BA40" s="1">
        <v>10</v>
      </c>
      <c r="BB40" s="1">
        <v>12</v>
      </c>
      <c r="BC40" s="1">
        <v>31</v>
      </c>
      <c r="BD40" s="1">
        <v>56</v>
      </c>
      <c r="BE40" s="1">
        <v>12</v>
      </c>
      <c r="BF40" s="1">
        <v>62</v>
      </c>
      <c r="BG40" s="1">
        <v>18</v>
      </c>
      <c r="BH40" s="1">
        <v>14</v>
      </c>
      <c r="BI40" s="1">
        <v>19</v>
      </c>
      <c r="BJ40" s="1">
        <v>51</v>
      </c>
      <c r="BK40" s="1">
        <v>50</v>
      </c>
      <c r="BL40" s="1">
        <v>22</v>
      </c>
      <c r="BM40" s="1">
        <v>46</v>
      </c>
      <c r="BN40" s="1">
        <v>96</v>
      </c>
      <c r="BO40" s="1">
        <v>50</v>
      </c>
      <c r="BP40" s="1">
        <v>3.62</v>
      </c>
      <c r="BQ40" s="1">
        <v>3.68</v>
      </c>
      <c r="BR40" s="1">
        <v>1.07</v>
      </c>
      <c r="BS40" s="1">
        <v>2.79</v>
      </c>
      <c r="BT40" s="1">
        <v>45</v>
      </c>
      <c r="BU40" s="1">
        <v>2</v>
      </c>
      <c r="BV40" s="1">
        <v>46.88</v>
      </c>
      <c r="BW40" s="1">
        <v>14</v>
      </c>
      <c r="BX40" s="1">
        <v>49.6</v>
      </c>
      <c r="BY40" s="1">
        <v>326.89999999999998</v>
      </c>
      <c r="BZ40" s="1">
        <v>41.06</v>
      </c>
      <c r="CA40" s="1">
        <v>4.3499999999999996</v>
      </c>
      <c r="CB40" s="1">
        <v>44.2</v>
      </c>
      <c r="CC40" s="1">
        <v>5.33</v>
      </c>
      <c r="CD40" s="1">
        <v>44.96</v>
      </c>
      <c r="CE40" s="1">
        <v>0.38</v>
      </c>
      <c r="CF40" s="1">
        <v>56.05</v>
      </c>
      <c r="CG40" s="1">
        <v>0.89</v>
      </c>
      <c r="CH40" s="1">
        <v>51.59</v>
      </c>
      <c r="CI40" s="1">
        <v>1</v>
      </c>
      <c r="CJ40" s="1">
        <v>50.91</v>
      </c>
      <c r="CK40" s="1">
        <v>0</v>
      </c>
      <c r="CL40" s="1">
        <v>50.12</v>
      </c>
      <c r="CM40" s="1">
        <v>-0.06</v>
      </c>
      <c r="CN40" s="1">
        <v>41.62</v>
      </c>
      <c r="CO40" s="1">
        <v>0.05</v>
      </c>
      <c r="CP40" s="1">
        <v>49.67</v>
      </c>
      <c r="CQ40" s="1">
        <v>-0.06</v>
      </c>
      <c r="CR40" s="1">
        <v>43.33</v>
      </c>
      <c r="CS40" s="1">
        <v>52</v>
      </c>
      <c r="CT40" s="1">
        <v>45</v>
      </c>
      <c r="CU40" s="1">
        <v>43</v>
      </c>
      <c r="CV40" s="1">
        <v>60</v>
      </c>
      <c r="CW40" s="1">
        <v>56</v>
      </c>
      <c r="CX40" s="1">
        <v>62</v>
      </c>
      <c r="CY40" s="1">
        <v>50</v>
      </c>
      <c r="CZ40" s="1">
        <v>54</v>
      </c>
      <c r="DA40" s="1">
        <v>0</v>
      </c>
    </row>
    <row r="41" spans="1:105" x14ac:dyDescent="0.15">
      <c r="A41" s="1" t="s">
        <v>248</v>
      </c>
      <c r="B41" s="1" t="s">
        <v>68</v>
      </c>
      <c r="C41" s="1">
        <v>2</v>
      </c>
      <c r="D41" s="1">
        <v>13</v>
      </c>
      <c r="E41" s="1">
        <v>48</v>
      </c>
      <c r="F41" s="1">
        <v>124</v>
      </c>
      <c r="G41" s="1">
        <v>91</v>
      </c>
      <c r="H41" s="1">
        <v>33</v>
      </c>
      <c r="I41" s="1">
        <v>59</v>
      </c>
      <c r="J41" s="1">
        <v>52</v>
      </c>
      <c r="K41" s="1">
        <v>43</v>
      </c>
      <c r="L41" s="1">
        <v>63</v>
      </c>
      <c r="M41" s="1">
        <v>115</v>
      </c>
      <c r="N41" s="1">
        <v>111</v>
      </c>
      <c r="O41" s="1">
        <v>66</v>
      </c>
      <c r="P41" s="1">
        <v>66</v>
      </c>
      <c r="Q41" s="1">
        <v>29</v>
      </c>
      <c r="R41" s="1">
        <v>58</v>
      </c>
      <c r="S41" s="1">
        <v>124</v>
      </c>
      <c r="T41" s="1">
        <v>120</v>
      </c>
      <c r="U41" s="1">
        <v>239</v>
      </c>
      <c r="V41" s="1">
        <v>118</v>
      </c>
      <c r="W41" s="1">
        <v>120</v>
      </c>
      <c r="X41" s="1">
        <v>36</v>
      </c>
      <c r="Y41" s="1">
        <v>0</v>
      </c>
      <c r="Z41" s="1">
        <v>36</v>
      </c>
      <c r="AA41" s="1">
        <v>11</v>
      </c>
      <c r="AB41" s="1">
        <v>120</v>
      </c>
      <c r="AC41" s="1">
        <v>100</v>
      </c>
      <c r="AD41" s="1">
        <v>15</v>
      </c>
      <c r="AE41" s="1">
        <v>26</v>
      </c>
      <c r="AF41" s="1">
        <v>117</v>
      </c>
      <c r="AG41" s="1">
        <v>19</v>
      </c>
      <c r="AH41" s="1">
        <v>57</v>
      </c>
      <c r="AI41" s="1">
        <v>75</v>
      </c>
      <c r="AJ41" s="1">
        <v>62</v>
      </c>
      <c r="AK41" s="1">
        <v>6</v>
      </c>
      <c r="AL41" s="1">
        <v>8</v>
      </c>
      <c r="AM41" s="1">
        <v>8</v>
      </c>
      <c r="AN41" s="1">
        <v>22</v>
      </c>
      <c r="AO41" s="1">
        <v>36</v>
      </c>
      <c r="AP41" s="1">
        <v>8</v>
      </c>
      <c r="AQ41" s="1">
        <v>38</v>
      </c>
      <c r="AR41" s="1">
        <v>12</v>
      </c>
      <c r="AS41" s="1">
        <v>58</v>
      </c>
      <c r="AT41" s="1">
        <v>14</v>
      </c>
      <c r="AU41" s="1">
        <v>41</v>
      </c>
      <c r="AV41" s="1">
        <v>18</v>
      </c>
      <c r="AW41" s="1">
        <v>56</v>
      </c>
      <c r="AX41" s="1">
        <v>25</v>
      </c>
      <c r="AY41" s="1">
        <v>59</v>
      </c>
      <c r="AZ41" s="1">
        <v>6</v>
      </c>
      <c r="BA41" s="1">
        <v>9</v>
      </c>
      <c r="BB41" s="1">
        <v>8</v>
      </c>
      <c r="BC41" s="1">
        <v>23</v>
      </c>
      <c r="BD41" s="1">
        <v>41</v>
      </c>
      <c r="BE41" s="1">
        <v>7</v>
      </c>
      <c r="BF41" s="1">
        <v>28</v>
      </c>
      <c r="BG41" s="1">
        <v>17</v>
      </c>
      <c r="BH41" s="1">
        <v>17</v>
      </c>
      <c r="BI41" s="1">
        <v>17</v>
      </c>
      <c r="BJ41" s="1">
        <v>51</v>
      </c>
      <c r="BK41" s="1">
        <v>47</v>
      </c>
      <c r="BL41" s="1">
        <v>23</v>
      </c>
      <c r="BM41" s="1">
        <v>48</v>
      </c>
      <c r="BN41" s="1">
        <v>112</v>
      </c>
      <c r="BO41" s="1">
        <v>68</v>
      </c>
      <c r="BP41" s="1">
        <v>3.62</v>
      </c>
      <c r="BQ41" s="1">
        <v>2.74</v>
      </c>
      <c r="BR41" s="1">
        <v>1.92</v>
      </c>
      <c r="BS41" s="1">
        <v>2.76</v>
      </c>
      <c r="BT41" s="1">
        <v>46</v>
      </c>
      <c r="BU41" s="1">
        <v>1</v>
      </c>
      <c r="BV41" s="1">
        <v>47.31</v>
      </c>
      <c r="BW41" s="1">
        <v>14</v>
      </c>
      <c r="BX41" s="1">
        <v>55.13</v>
      </c>
      <c r="BY41" s="1">
        <v>307.57</v>
      </c>
      <c r="BZ41" s="1">
        <v>33.92</v>
      </c>
      <c r="CA41" s="1">
        <v>4.0599999999999996</v>
      </c>
      <c r="CB41" s="1">
        <v>41.28</v>
      </c>
      <c r="CC41" s="1">
        <v>5.85</v>
      </c>
      <c r="CD41" s="1">
        <v>46.95</v>
      </c>
      <c r="CE41" s="1">
        <v>0.51</v>
      </c>
      <c r="CF41" s="1">
        <v>58.15</v>
      </c>
      <c r="CG41" s="1">
        <v>0.41</v>
      </c>
      <c r="CH41" s="1">
        <v>46.74</v>
      </c>
      <c r="CI41" s="1">
        <v>0</v>
      </c>
      <c r="CJ41" s="1">
        <v>46.79</v>
      </c>
      <c r="CK41" s="1">
        <v>-0.01</v>
      </c>
      <c r="CL41" s="1">
        <v>45.08</v>
      </c>
      <c r="CM41" s="1">
        <v>-0.04</v>
      </c>
      <c r="CN41" s="1">
        <v>46.41</v>
      </c>
      <c r="CO41" s="1">
        <v>0.09</v>
      </c>
      <c r="CP41" s="1">
        <v>61.58</v>
      </c>
      <c r="CQ41" s="1">
        <v>-0.05</v>
      </c>
      <c r="CR41" s="1">
        <v>42.66</v>
      </c>
      <c r="CS41" s="1">
        <v>58</v>
      </c>
      <c r="CT41" s="1">
        <v>46</v>
      </c>
      <c r="CU41" s="1">
        <v>48</v>
      </c>
      <c r="CV41" s="1">
        <v>36</v>
      </c>
      <c r="CW41" s="1">
        <v>41</v>
      </c>
      <c r="CX41" s="1">
        <v>59</v>
      </c>
      <c r="CY41" s="1">
        <v>68</v>
      </c>
      <c r="CZ41" s="1">
        <v>51</v>
      </c>
      <c r="DA41" s="1">
        <v>0</v>
      </c>
    </row>
    <row r="42" spans="1:105" x14ac:dyDescent="0.15">
      <c r="A42" s="1" t="s">
        <v>204</v>
      </c>
      <c r="B42" s="1" t="s">
        <v>443</v>
      </c>
      <c r="C42" s="1">
        <v>2</v>
      </c>
      <c r="D42" s="1">
        <v>13</v>
      </c>
      <c r="E42" s="1">
        <v>30</v>
      </c>
      <c r="F42" s="1">
        <v>95</v>
      </c>
      <c r="G42" s="1">
        <v>91</v>
      </c>
      <c r="H42" s="1">
        <v>4</v>
      </c>
      <c r="I42" s="1">
        <v>62</v>
      </c>
      <c r="J42" s="1">
        <v>55</v>
      </c>
      <c r="K42" s="1">
        <v>38</v>
      </c>
      <c r="L42" s="1">
        <v>53</v>
      </c>
      <c r="M42" s="1">
        <v>108</v>
      </c>
      <c r="N42" s="1">
        <v>106</v>
      </c>
      <c r="O42" s="1">
        <v>30</v>
      </c>
      <c r="P42" s="1">
        <v>44</v>
      </c>
      <c r="Q42" s="1">
        <v>24</v>
      </c>
      <c r="R42" s="1">
        <v>50</v>
      </c>
      <c r="S42" s="1">
        <v>94</v>
      </c>
      <c r="T42" s="1">
        <v>95</v>
      </c>
      <c r="U42" s="1">
        <v>202</v>
      </c>
      <c r="V42" s="1">
        <v>100</v>
      </c>
      <c r="W42" s="1">
        <v>120</v>
      </c>
      <c r="X42" s="1">
        <v>29</v>
      </c>
      <c r="Y42" s="1">
        <v>1</v>
      </c>
      <c r="Z42" s="1">
        <v>28</v>
      </c>
      <c r="AA42" s="1">
        <v>8</v>
      </c>
      <c r="AB42" s="1">
        <v>120</v>
      </c>
      <c r="AC42" s="1">
        <v>58</v>
      </c>
      <c r="AD42" s="1">
        <v>8</v>
      </c>
      <c r="AE42" s="1">
        <v>16</v>
      </c>
      <c r="AF42" s="1">
        <v>89</v>
      </c>
      <c r="AG42" s="1">
        <v>25</v>
      </c>
      <c r="AH42" s="1">
        <v>49</v>
      </c>
      <c r="AI42" s="1">
        <v>59</v>
      </c>
      <c r="AJ42" s="1">
        <v>51</v>
      </c>
      <c r="AK42" s="1">
        <v>6</v>
      </c>
      <c r="AL42" s="1">
        <v>10</v>
      </c>
      <c r="AM42" s="1">
        <v>11</v>
      </c>
      <c r="AN42" s="1">
        <v>27</v>
      </c>
      <c r="AO42" s="1">
        <v>47</v>
      </c>
      <c r="AP42" s="1">
        <v>8</v>
      </c>
      <c r="AQ42" s="1">
        <v>41</v>
      </c>
      <c r="AR42" s="1">
        <v>11</v>
      </c>
      <c r="AS42" s="1">
        <v>50</v>
      </c>
      <c r="AT42" s="1">
        <v>8</v>
      </c>
      <c r="AU42" s="1">
        <v>19</v>
      </c>
      <c r="AV42" s="1">
        <v>14</v>
      </c>
      <c r="AW42" s="1">
        <v>42</v>
      </c>
      <c r="AX42" s="1">
        <v>18</v>
      </c>
      <c r="AY42" s="1">
        <v>41</v>
      </c>
      <c r="AZ42" s="1">
        <v>4</v>
      </c>
      <c r="BA42" s="1">
        <v>8</v>
      </c>
      <c r="BB42" s="1">
        <v>9</v>
      </c>
      <c r="BC42" s="1">
        <v>21</v>
      </c>
      <c r="BD42" s="1">
        <v>40</v>
      </c>
      <c r="BE42" s="1">
        <v>10</v>
      </c>
      <c r="BF42" s="1">
        <v>50</v>
      </c>
      <c r="BG42" s="1">
        <v>13</v>
      </c>
      <c r="BH42" s="1">
        <v>12</v>
      </c>
      <c r="BI42" s="1">
        <v>19</v>
      </c>
      <c r="BJ42" s="1">
        <v>44</v>
      </c>
      <c r="BK42" s="1">
        <v>43</v>
      </c>
      <c r="BL42" s="1">
        <v>22</v>
      </c>
      <c r="BM42" s="1">
        <v>47</v>
      </c>
      <c r="BN42" s="1">
        <v>98</v>
      </c>
      <c r="BO42" s="1">
        <v>52</v>
      </c>
      <c r="BP42" s="1">
        <v>3.96</v>
      </c>
      <c r="BQ42" s="1">
        <v>2.08</v>
      </c>
      <c r="BR42" s="1">
        <v>1.1599999999999999</v>
      </c>
      <c r="BS42" s="1">
        <v>2.4</v>
      </c>
      <c r="BT42" s="1">
        <v>40</v>
      </c>
      <c r="BU42" s="1">
        <v>0</v>
      </c>
      <c r="BV42" s="1">
        <v>42.1</v>
      </c>
      <c r="BW42" s="1">
        <v>6</v>
      </c>
      <c r="BX42" s="1">
        <v>40.369999999999997</v>
      </c>
      <c r="BY42" s="1">
        <v>397.4</v>
      </c>
      <c r="BZ42" s="1">
        <v>52.42</v>
      </c>
      <c r="CA42" s="1">
        <v>4.0999999999999996</v>
      </c>
      <c r="CB42" s="1">
        <v>41.48</v>
      </c>
      <c r="CC42" s="1">
        <v>6.22</v>
      </c>
      <c r="CD42" s="1">
        <v>51.14</v>
      </c>
      <c r="CE42" s="1">
        <v>0.93</v>
      </c>
      <c r="CF42" s="1">
        <v>45.52</v>
      </c>
      <c r="CG42" s="1">
        <v>0.51</v>
      </c>
      <c r="CH42" s="1">
        <v>47.96</v>
      </c>
      <c r="CI42" s="1">
        <v>0</v>
      </c>
      <c r="CJ42" s="1">
        <v>45.77</v>
      </c>
      <c r="CK42" s="1">
        <v>-0.01</v>
      </c>
      <c r="CL42" s="1">
        <v>45.35</v>
      </c>
      <c r="CM42" s="1">
        <v>-0.08</v>
      </c>
      <c r="CN42" s="1">
        <v>42.8</v>
      </c>
      <c r="CO42" s="1">
        <v>0.02</v>
      </c>
      <c r="CP42" s="1">
        <v>40.78</v>
      </c>
      <c r="CQ42" s="1">
        <v>-0.16</v>
      </c>
      <c r="CR42" s="1">
        <v>32.590000000000003</v>
      </c>
      <c r="CS42" s="1">
        <v>48</v>
      </c>
      <c r="CT42" s="1">
        <v>40</v>
      </c>
      <c r="CU42" s="1">
        <v>26</v>
      </c>
      <c r="CV42" s="1">
        <v>47</v>
      </c>
      <c r="CW42" s="1">
        <v>40</v>
      </c>
      <c r="CX42" s="1">
        <v>41</v>
      </c>
      <c r="CY42" s="1">
        <v>52</v>
      </c>
      <c r="CZ42" s="1">
        <v>37</v>
      </c>
      <c r="DA42" s="1">
        <v>0</v>
      </c>
    </row>
    <row r="43" spans="1:105" x14ac:dyDescent="0.15">
      <c r="A43" s="1" t="s">
        <v>250</v>
      </c>
      <c r="B43" s="1" t="s">
        <v>444</v>
      </c>
      <c r="C43" s="1">
        <v>1</v>
      </c>
      <c r="D43" s="1">
        <v>13</v>
      </c>
      <c r="E43" s="1">
        <v>48</v>
      </c>
      <c r="F43" s="1">
        <v>124</v>
      </c>
      <c r="G43" s="1">
        <v>105</v>
      </c>
      <c r="H43" s="1">
        <v>19</v>
      </c>
      <c r="I43" s="1">
        <v>67</v>
      </c>
      <c r="J43" s="1">
        <v>61</v>
      </c>
      <c r="K43" s="1">
        <v>41</v>
      </c>
      <c r="L43" s="1">
        <v>59</v>
      </c>
      <c r="M43" s="1">
        <v>120</v>
      </c>
      <c r="N43" s="1">
        <v>116</v>
      </c>
      <c r="O43" s="1">
        <v>68</v>
      </c>
      <c r="P43" s="1">
        <v>67</v>
      </c>
      <c r="Q43" s="1">
        <v>32</v>
      </c>
      <c r="R43" s="1">
        <v>64</v>
      </c>
      <c r="S43" s="1">
        <v>131</v>
      </c>
      <c r="T43" s="1">
        <v>128</v>
      </c>
      <c r="U43" s="1">
        <v>251</v>
      </c>
      <c r="V43" s="1">
        <v>125</v>
      </c>
      <c r="W43" s="1">
        <v>120</v>
      </c>
      <c r="X43" s="1">
        <v>36</v>
      </c>
      <c r="Y43" s="1">
        <v>0</v>
      </c>
      <c r="Z43" s="1">
        <v>36</v>
      </c>
      <c r="AA43" s="1">
        <v>11</v>
      </c>
      <c r="AB43" s="1">
        <v>120</v>
      </c>
      <c r="AC43" s="1">
        <v>106</v>
      </c>
      <c r="AD43" s="1">
        <v>17</v>
      </c>
      <c r="AE43" s="1">
        <v>28</v>
      </c>
      <c r="AF43" s="1">
        <v>122</v>
      </c>
      <c r="AG43" s="1">
        <v>18</v>
      </c>
      <c r="AH43" s="1">
        <v>57</v>
      </c>
      <c r="AI43" s="1">
        <v>83</v>
      </c>
      <c r="AJ43" s="1">
        <v>72</v>
      </c>
      <c r="AK43" s="1">
        <v>7</v>
      </c>
      <c r="AL43" s="1">
        <v>10</v>
      </c>
      <c r="AM43" s="1">
        <v>10</v>
      </c>
      <c r="AN43" s="1">
        <v>27</v>
      </c>
      <c r="AO43" s="1">
        <v>46</v>
      </c>
      <c r="AP43" s="1">
        <v>10</v>
      </c>
      <c r="AQ43" s="1">
        <v>47</v>
      </c>
      <c r="AR43" s="1">
        <v>10</v>
      </c>
      <c r="AS43" s="1">
        <v>44</v>
      </c>
      <c r="AT43" s="1">
        <v>20</v>
      </c>
      <c r="AU43" s="1">
        <v>59</v>
      </c>
      <c r="AV43" s="1">
        <v>21</v>
      </c>
      <c r="AW43" s="1">
        <v>62</v>
      </c>
      <c r="AX43" s="1">
        <v>21</v>
      </c>
      <c r="AY43" s="1">
        <v>43</v>
      </c>
      <c r="AZ43" s="1">
        <v>7</v>
      </c>
      <c r="BA43" s="1">
        <v>8</v>
      </c>
      <c r="BB43" s="1">
        <v>12</v>
      </c>
      <c r="BC43" s="1">
        <v>27</v>
      </c>
      <c r="BD43" s="1">
        <v>47</v>
      </c>
      <c r="BE43" s="1">
        <v>10</v>
      </c>
      <c r="BF43" s="1">
        <v>47</v>
      </c>
      <c r="BG43" s="1">
        <v>20</v>
      </c>
      <c r="BH43" s="1">
        <v>16</v>
      </c>
      <c r="BI43" s="1">
        <v>24</v>
      </c>
      <c r="BJ43" s="1">
        <v>60</v>
      </c>
      <c r="BK43" s="1">
        <v>55</v>
      </c>
      <c r="BL43" s="1">
        <v>33</v>
      </c>
      <c r="BM43" s="1">
        <v>66</v>
      </c>
      <c r="BN43" s="1">
        <v>103</v>
      </c>
      <c r="BO43" s="1">
        <v>59</v>
      </c>
      <c r="BP43" s="1">
        <v>4.24</v>
      </c>
      <c r="BQ43" s="1">
        <v>3.96</v>
      </c>
      <c r="BR43" s="1">
        <v>2.25</v>
      </c>
      <c r="BS43" s="1">
        <v>3.48</v>
      </c>
      <c r="BT43" s="1">
        <v>55</v>
      </c>
      <c r="BU43" s="1">
        <v>0</v>
      </c>
      <c r="BV43" s="1">
        <v>40.86</v>
      </c>
      <c r="BW43" s="1">
        <v>11</v>
      </c>
      <c r="BX43" s="1">
        <v>45.74</v>
      </c>
      <c r="BY43" s="1">
        <v>341.21</v>
      </c>
      <c r="BZ43" s="1">
        <v>43.67</v>
      </c>
      <c r="CA43" s="1">
        <v>3.32</v>
      </c>
      <c r="CB43" s="1">
        <v>36.119999999999997</v>
      </c>
      <c r="CC43" s="1">
        <v>3.97</v>
      </c>
      <c r="CD43" s="1">
        <v>39.57</v>
      </c>
      <c r="CE43" s="1">
        <v>0.65</v>
      </c>
      <c r="CF43" s="1">
        <v>50.21</v>
      </c>
      <c r="CG43" s="1">
        <v>0.49</v>
      </c>
      <c r="CH43" s="1">
        <v>47.16</v>
      </c>
      <c r="CI43" s="1">
        <v>0</v>
      </c>
      <c r="CJ43" s="1">
        <v>44.54</v>
      </c>
      <c r="CK43" s="1">
        <v>-0.03</v>
      </c>
      <c r="CL43" s="1">
        <v>38.74</v>
      </c>
      <c r="CM43" s="1">
        <v>-0.03</v>
      </c>
      <c r="CN43" s="1">
        <v>45.14</v>
      </c>
      <c r="CO43" s="1">
        <v>0.03</v>
      </c>
      <c r="CP43" s="1">
        <v>42.63</v>
      </c>
      <c r="CQ43" s="1">
        <v>-0.01</v>
      </c>
      <c r="CR43" s="1">
        <v>47.69</v>
      </c>
      <c r="CS43" s="1">
        <v>70</v>
      </c>
      <c r="CT43" s="1">
        <v>55</v>
      </c>
      <c r="CU43" s="1">
        <v>63</v>
      </c>
      <c r="CV43" s="1">
        <v>46</v>
      </c>
      <c r="CW43" s="1">
        <v>47</v>
      </c>
      <c r="CX43" s="1">
        <v>43</v>
      </c>
      <c r="CY43" s="1">
        <v>59</v>
      </c>
      <c r="CZ43" s="1">
        <v>57</v>
      </c>
      <c r="DA43" s="1">
        <v>0</v>
      </c>
    </row>
    <row r="44" spans="1:105" x14ac:dyDescent="0.15">
      <c r="A44" s="1" t="s">
        <v>255</v>
      </c>
      <c r="B44" s="1" t="s">
        <v>95</v>
      </c>
      <c r="C44" s="1">
        <v>1</v>
      </c>
      <c r="D44" s="1">
        <v>12</v>
      </c>
      <c r="E44" s="1">
        <v>23</v>
      </c>
      <c r="F44" s="1">
        <v>84</v>
      </c>
      <c r="G44" s="1">
        <v>99</v>
      </c>
      <c r="H44" s="1">
        <v>-15</v>
      </c>
      <c r="I44" s="1">
        <v>47</v>
      </c>
      <c r="J44" s="1">
        <v>38</v>
      </c>
      <c r="K44" s="1">
        <v>33</v>
      </c>
      <c r="L44" s="1">
        <v>45</v>
      </c>
      <c r="M44" s="1">
        <v>83</v>
      </c>
      <c r="N44" s="1">
        <v>87</v>
      </c>
      <c r="O44" s="1">
        <v>34</v>
      </c>
      <c r="P44" s="1">
        <v>47</v>
      </c>
      <c r="Q44" s="1">
        <v>26</v>
      </c>
      <c r="R44" s="1">
        <v>54</v>
      </c>
      <c r="S44" s="1">
        <v>101</v>
      </c>
      <c r="T44" s="1">
        <v>100</v>
      </c>
      <c r="U44" s="1">
        <v>184</v>
      </c>
      <c r="V44" s="1">
        <v>93</v>
      </c>
      <c r="W44" s="1">
        <v>120</v>
      </c>
      <c r="X44" s="1">
        <v>27</v>
      </c>
      <c r="Y44" s="1">
        <v>3</v>
      </c>
      <c r="Z44" s="1">
        <v>24</v>
      </c>
      <c r="AA44" s="1">
        <v>7</v>
      </c>
      <c r="AB44" s="1">
        <v>120</v>
      </c>
      <c r="AC44" s="1">
        <v>48</v>
      </c>
      <c r="AD44" s="1">
        <v>6</v>
      </c>
      <c r="AE44" s="1">
        <v>13</v>
      </c>
      <c r="AF44" s="1">
        <v>81</v>
      </c>
      <c r="AG44" s="1">
        <v>42</v>
      </c>
      <c r="AH44" s="1">
        <v>36</v>
      </c>
      <c r="AI44" s="1">
        <v>50</v>
      </c>
      <c r="AJ44" s="1">
        <v>42</v>
      </c>
      <c r="AK44" s="1">
        <v>7</v>
      </c>
      <c r="AL44" s="1">
        <v>11</v>
      </c>
      <c r="AM44" s="1">
        <v>8</v>
      </c>
      <c r="AN44" s="1">
        <v>26</v>
      </c>
      <c r="AO44" s="1">
        <v>43</v>
      </c>
      <c r="AP44" s="1">
        <v>12</v>
      </c>
      <c r="AQ44" s="1">
        <v>59</v>
      </c>
      <c r="AR44" s="1">
        <v>12</v>
      </c>
      <c r="AS44" s="1">
        <v>57</v>
      </c>
      <c r="AT44" s="1">
        <v>10</v>
      </c>
      <c r="AU44" s="1">
        <v>32</v>
      </c>
      <c r="AV44" s="1">
        <v>8</v>
      </c>
      <c r="AW44" s="1">
        <v>28</v>
      </c>
      <c r="AX44" s="1">
        <v>12</v>
      </c>
      <c r="AY44" s="1">
        <v>39</v>
      </c>
      <c r="AZ44" s="1">
        <v>5</v>
      </c>
      <c r="BA44" s="1">
        <v>7</v>
      </c>
      <c r="BB44" s="1">
        <v>9</v>
      </c>
      <c r="BC44" s="1">
        <v>21</v>
      </c>
      <c r="BD44" s="1">
        <v>44</v>
      </c>
      <c r="BE44" s="1">
        <v>7</v>
      </c>
      <c r="BF44" s="1">
        <v>37</v>
      </c>
      <c r="BG44" s="1">
        <v>11</v>
      </c>
      <c r="BH44" s="1">
        <v>8</v>
      </c>
      <c r="BI44" s="1">
        <v>6</v>
      </c>
      <c r="BJ44" s="1">
        <v>25</v>
      </c>
      <c r="BK44" s="1">
        <v>35</v>
      </c>
      <c r="BL44" s="1">
        <v>24</v>
      </c>
      <c r="BM44" s="1">
        <v>51</v>
      </c>
      <c r="BN44" s="1">
        <v>93</v>
      </c>
      <c r="BO44" s="1">
        <v>44</v>
      </c>
      <c r="BP44" s="1">
        <v>2.25</v>
      </c>
      <c r="BQ44" s="1">
        <v>2.57</v>
      </c>
      <c r="BR44" s="1">
        <v>1.76</v>
      </c>
      <c r="BS44" s="1">
        <v>2.19</v>
      </c>
      <c r="BT44" s="1">
        <v>39</v>
      </c>
      <c r="BU44" s="1">
        <v>1</v>
      </c>
      <c r="BV44" s="1">
        <v>46.64</v>
      </c>
      <c r="BW44" s="1">
        <v>15</v>
      </c>
      <c r="BX44" s="1">
        <v>60.21</v>
      </c>
      <c r="BY44" s="1">
        <v>388.46</v>
      </c>
      <c r="BZ44" s="1">
        <v>46.22</v>
      </c>
      <c r="CA44" s="1">
        <v>4.1100000000000003</v>
      </c>
      <c r="CB44" s="1">
        <v>42.51</v>
      </c>
      <c r="CC44" s="1">
        <v>4.84</v>
      </c>
      <c r="CD44" s="1">
        <v>45.86</v>
      </c>
      <c r="CE44" s="1">
        <v>0.51</v>
      </c>
      <c r="CF44" s="1">
        <v>60.62</v>
      </c>
      <c r="CG44" s="1">
        <v>0.53</v>
      </c>
      <c r="CH44" s="1">
        <v>47.79</v>
      </c>
      <c r="CI44" s="1">
        <v>0</v>
      </c>
      <c r="CJ44" s="1">
        <v>45.91</v>
      </c>
      <c r="CK44" s="1">
        <v>0</v>
      </c>
      <c r="CL44" s="1">
        <v>52.05</v>
      </c>
      <c r="CM44" s="1">
        <v>0.08</v>
      </c>
      <c r="CN44" s="1">
        <v>68.67</v>
      </c>
      <c r="CO44" s="1">
        <v>0.04</v>
      </c>
      <c r="CP44" s="1">
        <v>47.14</v>
      </c>
      <c r="CQ44" s="1">
        <v>-0.05</v>
      </c>
      <c r="CR44" s="1">
        <v>44.27</v>
      </c>
      <c r="CS44" s="1">
        <v>41</v>
      </c>
      <c r="CT44" s="1">
        <v>39</v>
      </c>
      <c r="CU44" s="1">
        <v>26</v>
      </c>
      <c r="CV44" s="1">
        <v>43</v>
      </c>
      <c r="CW44" s="1">
        <v>44</v>
      </c>
      <c r="CX44" s="1">
        <v>39</v>
      </c>
      <c r="CY44" s="1">
        <v>44</v>
      </c>
      <c r="CZ44" s="1">
        <v>33</v>
      </c>
      <c r="DA44" s="1">
        <v>0</v>
      </c>
    </row>
    <row r="45" spans="1:105" x14ac:dyDescent="0.15">
      <c r="A45" s="1" t="s">
        <v>259</v>
      </c>
      <c r="B45" s="1" t="s">
        <v>260</v>
      </c>
      <c r="C45" s="1">
        <v>3</v>
      </c>
      <c r="D45" s="1">
        <v>13</v>
      </c>
      <c r="E45" s="1">
        <v>45</v>
      </c>
      <c r="F45" s="1">
        <v>117</v>
      </c>
      <c r="G45" s="1">
        <v>102</v>
      </c>
      <c r="H45" s="1">
        <v>15</v>
      </c>
      <c r="I45" s="1">
        <v>71</v>
      </c>
      <c r="J45" s="1">
        <v>64</v>
      </c>
      <c r="K45" s="1">
        <v>42</v>
      </c>
      <c r="L45" s="1">
        <v>61</v>
      </c>
      <c r="M45" s="1">
        <v>125</v>
      </c>
      <c r="N45" s="1">
        <v>120</v>
      </c>
      <c r="O45" s="1">
        <v>58</v>
      </c>
      <c r="P45" s="1">
        <v>62</v>
      </c>
      <c r="Q45" s="1">
        <v>29</v>
      </c>
      <c r="R45" s="1">
        <v>60</v>
      </c>
      <c r="S45" s="1">
        <v>122</v>
      </c>
      <c r="T45" s="1">
        <v>119</v>
      </c>
      <c r="U45" s="1">
        <v>247</v>
      </c>
      <c r="V45" s="1">
        <v>123</v>
      </c>
      <c r="W45" s="1">
        <v>120</v>
      </c>
      <c r="X45" s="1">
        <v>23</v>
      </c>
      <c r="Y45" s="1">
        <v>0</v>
      </c>
      <c r="Z45" s="1">
        <v>23</v>
      </c>
      <c r="AA45" s="1">
        <v>7</v>
      </c>
      <c r="AB45" s="1">
        <v>120</v>
      </c>
      <c r="AC45" s="1">
        <v>63</v>
      </c>
      <c r="AD45" s="1">
        <v>9</v>
      </c>
      <c r="AE45" s="1">
        <v>16</v>
      </c>
      <c r="AF45" s="1">
        <v>89</v>
      </c>
      <c r="AG45" s="1">
        <v>25</v>
      </c>
      <c r="AH45" s="1">
        <v>52</v>
      </c>
      <c r="AI45" s="1">
        <v>58</v>
      </c>
      <c r="AJ45" s="1">
        <v>54</v>
      </c>
      <c r="AK45" s="1">
        <v>6</v>
      </c>
      <c r="AL45" s="1">
        <v>8</v>
      </c>
      <c r="AM45" s="1">
        <v>11</v>
      </c>
      <c r="AN45" s="1">
        <v>25</v>
      </c>
      <c r="AO45" s="1">
        <v>43</v>
      </c>
      <c r="AP45" s="1">
        <v>11</v>
      </c>
      <c r="AQ45" s="1">
        <v>54</v>
      </c>
      <c r="AR45" s="1">
        <v>11</v>
      </c>
      <c r="AS45" s="1">
        <v>49</v>
      </c>
      <c r="AT45" s="1">
        <v>15</v>
      </c>
      <c r="AU45" s="1">
        <v>44</v>
      </c>
      <c r="AV45" s="1">
        <v>13</v>
      </c>
      <c r="AW45" s="1">
        <v>40</v>
      </c>
      <c r="AX45" s="1">
        <v>19</v>
      </c>
      <c r="AY45" s="1">
        <v>47</v>
      </c>
      <c r="AZ45" s="1">
        <v>5</v>
      </c>
      <c r="BA45" s="1">
        <v>7</v>
      </c>
      <c r="BB45" s="1">
        <v>9</v>
      </c>
      <c r="BC45" s="1">
        <v>21</v>
      </c>
      <c r="BD45" s="1">
        <v>44</v>
      </c>
      <c r="BE45" s="1">
        <v>8</v>
      </c>
      <c r="BF45" s="1">
        <v>42</v>
      </c>
      <c r="BG45" s="1">
        <v>12</v>
      </c>
      <c r="BH45" s="1">
        <v>14</v>
      </c>
      <c r="BI45" s="1">
        <v>13</v>
      </c>
      <c r="BJ45" s="1">
        <v>39</v>
      </c>
      <c r="BK45" s="1">
        <v>41</v>
      </c>
      <c r="BL45" s="1">
        <v>27</v>
      </c>
      <c r="BM45" s="1">
        <v>57</v>
      </c>
      <c r="BN45" s="1">
        <v>86</v>
      </c>
      <c r="BO45" s="1">
        <v>37</v>
      </c>
      <c r="BP45" s="1">
        <v>3.34</v>
      </c>
      <c r="BQ45" s="1">
        <v>2.61</v>
      </c>
      <c r="BR45" s="1">
        <v>2.0099999999999998</v>
      </c>
      <c r="BS45" s="1">
        <v>2.65</v>
      </c>
      <c r="BT45" s="1">
        <v>44</v>
      </c>
      <c r="BU45" s="1">
        <v>0</v>
      </c>
      <c r="BV45" s="1">
        <v>42.1</v>
      </c>
      <c r="BW45" s="1">
        <v>10</v>
      </c>
      <c r="BX45" s="1">
        <v>45.02</v>
      </c>
      <c r="BY45" s="1">
        <v>380.09</v>
      </c>
      <c r="BZ45" s="1">
        <v>48.89</v>
      </c>
      <c r="CA45" s="1">
        <v>5.32</v>
      </c>
      <c r="CB45" s="1">
        <v>51.69</v>
      </c>
      <c r="CC45" s="1">
        <v>5.97</v>
      </c>
      <c r="CD45" s="1">
        <v>50.11</v>
      </c>
      <c r="CE45" s="1">
        <v>0.97</v>
      </c>
      <c r="CF45" s="1">
        <v>44.67</v>
      </c>
      <c r="CG45" s="1">
        <v>0.13</v>
      </c>
      <c r="CH45" s="1">
        <v>45.19</v>
      </c>
      <c r="CI45" s="1">
        <v>0</v>
      </c>
      <c r="CJ45" s="1">
        <v>45.77</v>
      </c>
      <c r="CK45" s="1">
        <v>0</v>
      </c>
      <c r="CL45" s="1">
        <v>50.33</v>
      </c>
      <c r="CM45" s="1">
        <v>0.06</v>
      </c>
      <c r="CN45" s="1">
        <v>68.650000000000006</v>
      </c>
      <c r="CO45" s="1">
        <v>0.09</v>
      </c>
      <c r="CP45" s="1">
        <v>65.83</v>
      </c>
      <c r="CQ45" s="1">
        <v>0.13</v>
      </c>
      <c r="CR45" s="1">
        <v>64.87</v>
      </c>
      <c r="CS45" s="1">
        <v>55</v>
      </c>
      <c r="CT45" s="1">
        <v>44</v>
      </c>
      <c r="CU45" s="1">
        <v>40</v>
      </c>
      <c r="CV45" s="1">
        <v>43</v>
      </c>
      <c r="CW45" s="1">
        <v>44</v>
      </c>
      <c r="CX45" s="1">
        <v>47</v>
      </c>
      <c r="CY45" s="1">
        <v>37</v>
      </c>
      <c r="CZ45" s="1">
        <v>41</v>
      </c>
      <c r="DA45" s="1">
        <v>0</v>
      </c>
    </row>
    <row r="46" spans="1:105" x14ac:dyDescent="0.15">
      <c r="A46" s="1" t="s">
        <v>257</v>
      </c>
      <c r="B46" s="1" t="s">
        <v>445</v>
      </c>
      <c r="C46" s="1">
        <v>1</v>
      </c>
      <c r="D46" s="1">
        <v>16</v>
      </c>
      <c r="E46" s="1">
        <v>32</v>
      </c>
      <c r="F46" s="1">
        <v>99</v>
      </c>
      <c r="G46" s="1">
        <v>111</v>
      </c>
      <c r="H46" s="1">
        <v>-12</v>
      </c>
      <c r="I46" s="1">
        <v>71</v>
      </c>
      <c r="J46" s="1">
        <v>64</v>
      </c>
      <c r="K46" s="1">
        <v>43</v>
      </c>
      <c r="L46" s="1">
        <v>66</v>
      </c>
      <c r="M46" s="1">
        <v>130</v>
      </c>
      <c r="N46" s="1">
        <v>126</v>
      </c>
      <c r="O46" s="1">
        <v>45</v>
      </c>
      <c r="P46" s="1">
        <v>60</v>
      </c>
      <c r="Q46" s="1">
        <v>27</v>
      </c>
      <c r="R46" s="1">
        <v>65</v>
      </c>
      <c r="S46" s="1">
        <v>125</v>
      </c>
      <c r="T46" s="1">
        <v>121</v>
      </c>
      <c r="U46" s="1">
        <v>255</v>
      </c>
      <c r="V46" s="1">
        <v>127</v>
      </c>
      <c r="W46" s="1">
        <v>120</v>
      </c>
      <c r="X46" s="1">
        <v>21</v>
      </c>
      <c r="Y46" s="1">
        <v>0</v>
      </c>
      <c r="Z46" s="1">
        <v>21</v>
      </c>
      <c r="AA46" s="1">
        <v>8</v>
      </c>
      <c r="AB46" s="1">
        <v>120</v>
      </c>
      <c r="AC46" s="1">
        <v>64</v>
      </c>
      <c r="AD46" s="1">
        <v>12</v>
      </c>
      <c r="AE46" s="1">
        <v>20</v>
      </c>
      <c r="AF46" s="1">
        <v>100</v>
      </c>
      <c r="AG46" s="1">
        <v>30</v>
      </c>
      <c r="AH46" s="1">
        <v>51</v>
      </c>
      <c r="AI46" s="1">
        <v>58</v>
      </c>
      <c r="AJ46" s="1">
        <v>62</v>
      </c>
      <c r="AK46" s="1">
        <v>5</v>
      </c>
      <c r="AL46" s="1">
        <v>9</v>
      </c>
      <c r="AM46" s="1">
        <v>11</v>
      </c>
      <c r="AN46" s="1">
        <v>25</v>
      </c>
      <c r="AO46" s="1">
        <v>45</v>
      </c>
      <c r="AP46" s="1">
        <v>8</v>
      </c>
      <c r="AQ46" s="1">
        <v>42</v>
      </c>
      <c r="AR46" s="1">
        <v>9</v>
      </c>
      <c r="AS46" s="1">
        <v>38</v>
      </c>
      <c r="AT46" s="1">
        <v>16</v>
      </c>
      <c r="AU46" s="1">
        <v>52</v>
      </c>
      <c r="AV46" s="1">
        <v>15</v>
      </c>
      <c r="AW46" s="1">
        <v>49</v>
      </c>
      <c r="AX46" s="1">
        <v>14</v>
      </c>
      <c r="AY46" s="1">
        <v>48</v>
      </c>
      <c r="AZ46" s="1">
        <v>2</v>
      </c>
      <c r="BA46" s="1">
        <v>5</v>
      </c>
      <c r="BB46" s="1">
        <v>7</v>
      </c>
      <c r="BC46" s="1">
        <v>14</v>
      </c>
      <c r="BD46" s="1">
        <v>42</v>
      </c>
      <c r="BE46" s="1">
        <v>7</v>
      </c>
      <c r="BF46" s="1">
        <v>45</v>
      </c>
      <c r="BG46" s="1">
        <v>13</v>
      </c>
      <c r="BH46" s="1">
        <v>9</v>
      </c>
      <c r="BI46" s="1">
        <v>11</v>
      </c>
      <c r="BJ46" s="1">
        <v>33</v>
      </c>
      <c r="BK46" s="1">
        <v>37</v>
      </c>
      <c r="BL46" s="1">
        <v>40</v>
      </c>
      <c r="BM46" s="1">
        <v>82</v>
      </c>
      <c r="BN46" s="1">
        <v>108</v>
      </c>
      <c r="BO46" s="1">
        <v>60</v>
      </c>
      <c r="BP46" s="1">
        <v>4.24</v>
      </c>
      <c r="BQ46" s="1">
        <v>3.68</v>
      </c>
      <c r="BR46" s="1">
        <v>1.46</v>
      </c>
      <c r="BS46" s="1">
        <v>3.13</v>
      </c>
      <c r="BT46" s="1">
        <v>54</v>
      </c>
      <c r="BU46" s="1">
        <v>0</v>
      </c>
      <c r="BV46" s="1">
        <v>39.9</v>
      </c>
      <c r="BW46" s="1">
        <v>3</v>
      </c>
      <c r="BX46" s="1">
        <v>37.49</v>
      </c>
      <c r="BY46" s="1">
        <v>390.49</v>
      </c>
      <c r="BZ46" s="1">
        <v>44.07</v>
      </c>
      <c r="CA46" s="1">
        <v>3.33</v>
      </c>
      <c r="CB46" s="1">
        <v>35.97</v>
      </c>
      <c r="CC46" s="1">
        <v>3.57</v>
      </c>
      <c r="CD46" s="1">
        <v>28.2</v>
      </c>
      <c r="CE46" s="1">
        <v>1.35</v>
      </c>
      <c r="CF46" s="1">
        <v>35.869999999999997</v>
      </c>
      <c r="CG46" s="1">
        <v>0.76</v>
      </c>
      <c r="CH46" s="1">
        <v>51.18</v>
      </c>
      <c r="CI46" s="1">
        <v>0</v>
      </c>
      <c r="CJ46" s="1">
        <v>42.49</v>
      </c>
      <c r="CK46" s="1">
        <v>0</v>
      </c>
      <c r="CL46" s="1">
        <v>47.44</v>
      </c>
      <c r="CM46" s="1">
        <v>-0.09</v>
      </c>
      <c r="CN46" s="1">
        <v>42.7</v>
      </c>
      <c r="CO46" s="1">
        <v>0.01</v>
      </c>
      <c r="CP46" s="1">
        <v>47.13</v>
      </c>
      <c r="CQ46" s="1">
        <v>-0.04</v>
      </c>
      <c r="CR46" s="1">
        <v>55.03</v>
      </c>
      <c r="CS46" s="1">
        <v>70</v>
      </c>
      <c r="CT46" s="1">
        <v>54</v>
      </c>
      <c r="CU46" s="1">
        <v>51</v>
      </c>
      <c r="CV46" s="1">
        <v>45</v>
      </c>
      <c r="CW46" s="1">
        <v>42</v>
      </c>
      <c r="CX46" s="1">
        <v>48</v>
      </c>
      <c r="CY46" s="1">
        <v>60</v>
      </c>
      <c r="CZ46" s="1">
        <v>54</v>
      </c>
      <c r="DA46" s="1">
        <v>0</v>
      </c>
    </row>
    <row r="47" spans="1:105" x14ac:dyDescent="0.15">
      <c r="A47" s="1" t="s">
        <v>264</v>
      </c>
      <c r="B47" s="1" t="s">
        <v>265</v>
      </c>
      <c r="C47" s="1">
        <v>1</v>
      </c>
      <c r="D47" s="1">
        <v>13</v>
      </c>
      <c r="E47" s="1">
        <v>48</v>
      </c>
      <c r="F47" s="1">
        <v>123</v>
      </c>
      <c r="G47" s="1">
        <v>105</v>
      </c>
      <c r="H47" s="1">
        <v>18</v>
      </c>
      <c r="I47" s="1">
        <v>69</v>
      </c>
      <c r="J47" s="1">
        <v>62</v>
      </c>
      <c r="K47" s="1">
        <v>40</v>
      </c>
      <c r="L47" s="1">
        <v>60</v>
      </c>
      <c r="M47" s="1">
        <v>122</v>
      </c>
      <c r="N47" s="1">
        <v>118</v>
      </c>
      <c r="O47" s="1">
        <v>54</v>
      </c>
      <c r="P47" s="1">
        <v>63</v>
      </c>
      <c r="Q47" s="1">
        <v>29</v>
      </c>
      <c r="R47" s="1">
        <v>66</v>
      </c>
      <c r="S47" s="1">
        <v>129</v>
      </c>
      <c r="T47" s="1">
        <v>126</v>
      </c>
      <c r="U47" s="1">
        <v>251</v>
      </c>
      <c r="V47" s="1">
        <v>125</v>
      </c>
      <c r="W47" s="1">
        <v>120</v>
      </c>
      <c r="X47" s="1">
        <v>30</v>
      </c>
      <c r="Y47" s="1">
        <v>0</v>
      </c>
      <c r="Z47" s="1">
        <v>30</v>
      </c>
      <c r="AA47" s="1">
        <v>11</v>
      </c>
      <c r="AB47" s="1">
        <v>120</v>
      </c>
      <c r="AC47" s="1">
        <v>61</v>
      </c>
      <c r="AD47" s="1">
        <v>10</v>
      </c>
      <c r="AE47" s="1">
        <v>21</v>
      </c>
      <c r="AF47" s="1">
        <v>102</v>
      </c>
      <c r="AG47" s="1">
        <v>24</v>
      </c>
      <c r="AH47" s="1">
        <v>58</v>
      </c>
      <c r="AI47" s="1">
        <v>51</v>
      </c>
      <c r="AJ47" s="1">
        <v>49</v>
      </c>
      <c r="AK47" s="1">
        <v>6</v>
      </c>
      <c r="AL47" s="1">
        <v>8</v>
      </c>
      <c r="AM47" s="1">
        <v>10</v>
      </c>
      <c r="AN47" s="1">
        <v>24</v>
      </c>
      <c r="AO47" s="1">
        <v>41</v>
      </c>
      <c r="AP47" s="1">
        <v>9</v>
      </c>
      <c r="AQ47" s="1">
        <v>45</v>
      </c>
      <c r="AR47" s="1">
        <v>12</v>
      </c>
      <c r="AS47" s="1">
        <v>60</v>
      </c>
      <c r="AT47" s="1">
        <v>15</v>
      </c>
      <c r="AU47" s="1">
        <v>52</v>
      </c>
      <c r="AV47" s="1">
        <v>15</v>
      </c>
      <c r="AW47" s="1">
        <v>51</v>
      </c>
      <c r="AX47" s="1">
        <v>20</v>
      </c>
      <c r="AY47" s="1">
        <v>58</v>
      </c>
      <c r="AZ47" s="1">
        <v>8</v>
      </c>
      <c r="BA47" s="1">
        <v>11</v>
      </c>
      <c r="BB47" s="1">
        <v>12</v>
      </c>
      <c r="BC47" s="1">
        <v>31</v>
      </c>
      <c r="BD47" s="1">
        <v>68</v>
      </c>
      <c r="BE47" s="1">
        <v>12</v>
      </c>
      <c r="BF47" s="1">
        <v>66</v>
      </c>
      <c r="BG47" s="1">
        <v>7</v>
      </c>
      <c r="BH47" s="1">
        <v>14</v>
      </c>
      <c r="BI47" s="1">
        <v>13</v>
      </c>
      <c r="BJ47" s="1">
        <v>34</v>
      </c>
      <c r="BK47" s="1">
        <v>39</v>
      </c>
      <c r="BL47" s="1">
        <v>25</v>
      </c>
      <c r="BM47" s="1">
        <v>54</v>
      </c>
      <c r="BN47" s="1">
        <v>87</v>
      </c>
      <c r="BO47" s="1">
        <v>36</v>
      </c>
      <c r="BP47" s="1">
        <v>3.96</v>
      </c>
      <c r="BQ47" s="1">
        <v>3.96</v>
      </c>
      <c r="BR47" s="1">
        <v>1.7000000000000002</v>
      </c>
      <c r="BS47" s="1">
        <v>3.21</v>
      </c>
      <c r="BT47" s="1">
        <v>56</v>
      </c>
      <c r="BU47" s="1">
        <v>0</v>
      </c>
      <c r="BV47" s="1">
        <v>42.93</v>
      </c>
      <c r="BW47" s="1">
        <v>14</v>
      </c>
      <c r="BX47" s="1">
        <v>54.28</v>
      </c>
      <c r="BY47" s="1">
        <v>390.78</v>
      </c>
      <c r="BZ47" s="1">
        <v>43.46</v>
      </c>
      <c r="CA47" s="1">
        <v>4.66</v>
      </c>
      <c r="CB47" s="1">
        <v>45.48</v>
      </c>
      <c r="CC47" s="1">
        <v>4.37</v>
      </c>
      <c r="CD47" s="1">
        <v>41.46</v>
      </c>
      <c r="CE47" s="1">
        <v>0.63</v>
      </c>
      <c r="CF47" s="1">
        <v>55.67</v>
      </c>
      <c r="CG47" s="1">
        <v>0.11</v>
      </c>
      <c r="CH47" s="1">
        <v>40.81</v>
      </c>
      <c r="CI47" s="1">
        <v>0</v>
      </c>
      <c r="CJ47" s="1">
        <v>45.52</v>
      </c>
      <c r="CK47" s="1">
        <v>0</v>
      </c>
      <c r="CL47" s="1">
        <v>45.77</v>
      </c>
      <c r="CM47" s="1">
        <v>-0.02</v>
      </c>
      <c r="CN47" s="1">
        <v>48.82</v>
      </c>
      <c r="CO47" s="1">
        <v>0.08</v>
      </c>
      <c r="CP47" s="1">
        <v>67.959999999999994</v>
      </c>
      <c r="CQ47" s="1">
        <v>-0.02</v>
      </c>
      <c r="CR47" s="1">
        <v>51.96</v>
      </c>
      <c r="CS47" s="1">
        <v>55</v>
      </c>
      <c r="CT47" s="1">
        <v>56</v>
      </c>
      <c r="CU47" s="1">
        <v>51</v>
      </c>
      <c r="CV47" s="1">
        <v>41</v>
      </c>
      <c r="CW47" s="1">
        <v>68</v>
      </c>
      <c r="CX47" s="1">
        <v>58</v>
      </c>
      <c r="CY47" s="1">
        <v>36</v>
      </c>
      <c r="CZ47" s="1">
        <v>53</v>
      </c>
      <c r="DA47" s="1">
        <v>0</v>
      </c>
    </row>
    <row r="48" spans="1:105" x14ac:dyDescent="0.15">
      <c r="A48" s="1" t="s">
        <v>261</v>
      </c>
      <c r="B48" s="1" t="s">
        <v>446</v>
      </c>
      <c r="C48" s="1">
        <v>1</v>
      </c>
      <c r="D48" s="1">
        <v>13</v>
      </c>
      <c r="E48" s="1">
        <v>19</v>
      </c>
      <c r="F48" s="1">
        <v>78</v>
      </c>
      <c r="G48" s="1">
        <v>105</v>
      </c>
      <c r="H48" s="1">
        <v>-27</v>
      </c>
      <c r="I48" s="1">
        <v>50</v>
      </c>
      <c r="J48" s="1">
        <v>41</v>
      </c>
      <c r="K48" s="1">
        <v>20</v>
      </c>
      <c r="L48" s="1">
        <v>24</v>
      </c>
      <c r="M48" s="1">
        <v>65</v>
      </c>
      <c r="N48" s="1">
        <v>75</v>
      </c>
      <c r="O48" s="1">
        <v>39</v>
      </c>
      <c r="P48" s="1">
        <v>50</v>
      </c>
      <c r="Q48" s="1">
        <v>20</v>
      </c>
      <c r="R48" s="1">
        <v>46</v>
      </c>
      <c r="S48" s="1">
        <v>96</v>
      </c>
      <c r="T48" s="1">
        <v>96</v>
      </c>
      <c r="U48" s="1">
        <v>161</v>
      </c>
      <c r="V48" s="1">
        <v>84</v>
      </c>
      <c r="W48" s="1">
        <v>120</v>
      </c>
      <c r="X48" s="1">
        <v>18</v>
      </c>
      <c r="Y48" s="1">
        <v>0</v>
      </c>
      <c r="Z48" s="1">
        <v>18</v>
      </c>
      <c r="AA48" s="1">
        <v>5</v>
      </c>
      <c r="AB48" s="1">
        <v>120</v>
      </c>
      <c r="AC48" s="1">
        <v>55</v>
      </c>
      <c r="AD48" s="1">
        <v>7</v>
      </c>
      <c r="AE48" s="1">
        <v>12</v>
      </c>
      <c r="AF48" s="1">
        <v>79</v>
      </c>
      <c r="AG48" s="1">
        <v>24</v>
      </c>
      <c r="AH48" s="1">
        <v>53</v>
      </c>
      <c r="AI48" s="1">
        <v>49</v>
      </c>
      <c r="AJ48" s="1">
        <v>44</v>
      </c>
      <c r="AK48" s="1">
        <v>5</v>
      </c>
      <c r="AL48" s="1">
        <v>6</v>
      </c>
      <c r="AM48" s="1">
        <v>8</v>
      </c>
      <c r="AN48" s="1">
        <v>19</v>
      </c>
      <c r="AO48" s="1">
        <v>34</v>
      </c>
      <c r="AP48" s="1">
        <v>4</v>
      </c>
      <c r="AQ48" s="1">
        <v>20</v>
      </c>
      <c r="AR48" s="1">
        <v>9</v>
      </c>
      <c r="AS48" s="1">
        <v>33</v>
      </c>
      <c r="AT48" s="1">
        <v>15</v>
      </c>
      <c r="AU48" s="1">
        <v>44</v>
      </c>
      <c r="AV48" s="1">
        <v>10</v>
      </c>
      <c r="AW48" s="1">
        <v>31</v>
      </c>
      <c r="AX48" s="1">
        <v>8888</v>
      </c>
      <c r="AY48" s="1">
        <v>8888</v>
      </c>
      <c r="AZ48" s="1">
        <v>4</v>
      </c>
      <c r="BA48" s="1">
        <v>9</v>
      </c>
      <c r="BB48" s="1">
        <v>10</v>
      </c>
      <c r="BC48" s="1">
        <v>23</v>
      </c>
      <c r="BD48" s="1">
        <v>47</v>
      </c>
      <c r="BE48" s="1">
        <v>9</v>
      </c>
      <c r="BF48" s="1">
        <v>48</v>
      </c>
      <c r="BG48" s="1">
        <v>9</v>
      </c>
      <c r="BH48" s="1">
        <v>9</v>
      </c>
      <c r="BI48" s="1">
        <v>7</v>
      </c>
      <c r="BJ48" s="1">
        <v>25</v>
      </c>
      <c r="BK48" s="1">
        <v>32</v>
      </c>
      <c r="BL48" s="1">
        <v>21</v>
      </c>
      <c r="BM48" s="1">
        <v>46</v>
      </c>
      <c r="BN48" s="1">
        <v>107</v>
      </c>
      <c r="BO48" s="1">
        <v>62</v>
      </c>
      <c r="BP48" s="1">
        <v>1.9300000000000002</v>
      </c>
      <c r="BQ48" s="1">
        <v>2.96</v>
      </c>
      <c r="BR48" s="1">
        <v>0.51</v>
      </c>
      <c r="BS48" s="1">
        <v>1.8</v>
      </c>
      <c r="BT48" s="1">
        <v>31</v>
      </c>
      <c r="BU48" s="1">
        <v>1</v>
      </c>
      <c r="BV48" s="1">
        <v>45.43</v>
      </c>
      <c r="BW48" s="1">
        <v>14</v>
      </c>
      <c r="BX48" s="1">
        <v>49.68</v>
      </c>
      <c r="BY48" s="1">
        <v>409.62</v>
      </c>
      <c r="BZ48" s="1">
        <v>54.81</v>
      </c>
      <c r="CA48" s="1">
        <v>6.66</v>
      </c>
      <c r="CB48" s="1">
        <v>60.47</v>
      </c>
      <c r="CC48" s="1">
        <v>7.33</v>
      </c>
      <c r="CD48" s="1">
        <v>55.32</v>
      </c>
      <c r="CE48" s="1">
        <v>0.64</v>
      </c>
      <c r="CF48" s="1">
        <v>51.18</v>
      </c>
      <c r="CG48" s="1">
        <v>0.16</v>
      </c>
      <c r="CH48" s="1">
        <v>45.42</v>
      </c>
      <c r="CI48" s="1">
        <v>0</v>
      </c>
      <c r="CJ48" s="1">
        <v>45.77</v>
      </c>
      <c r="CK48" s="1">
        <v>-0.03</v>
      </c>
      <c r="CL48" s="1">
        <v>34.65</v>
      </c>
      <c r="CM48" s="1">
        <v>0.02</v>
      </c>
      <c r="CN48" s="1">
        <v>60.15</v>
      </c>
      <c r="CO48" s="1">
        <v>0.11</v>
      </c>
      <c r="CP48" s="1">
        <v>74.91</v>
      </c>
      <c r="CQ48" s="1">
        <v>-0.08</v>
      </c>
      <c r="CR48" s="1">
        <v>41.95</v>
      </c>
      <c r="CS48" s="1">
        <v>46</v>
      </c>
      <c r="CT48" s="1">
        <v>31</v>
      </c>
      <c r="CU48" s="1">
        <v>35</v>
      </c>
      <c r="CV48" s="1">
        <v>34</v>
      </c>
      <c r="CW48" s="1">
        <v>47</v>
      </c>
      <c r="CX48" s="1">
        <v>9999</v>
      </c>
      <c r="CY48" s="1">
        <v>62</v>
      </c>
      <c r="CZ48" s="1">
        <v>9999</v>
      </c>
      <c r="DA48" s="1">
        <v>0</v>
      </c>
    </row>
    <row r="49" spans="1:105" x14ac:dyDescent="0.15">
      <c r="A49" s="1" t="s">
        <v>268</v>
      </c>
      <c r="B49" s="1" t="s">
        <v>447</v>
      </c>
      <c r="C49" s="1">
        <v>3</v>
      </c>
      <c r="D49" s="1">
        <v>13</v>
      </c>
      <c r="E49" s="1">
        <v>37</v>
      </c>
      <c r="F49" s="1">
        <v>107</v>
      </c>
      <c r="G49" s="1">
        <v>102</v>
      </c>
      <c r="H49" s="1">
        <v>5</v>
      </c>
      <c r="I49" s="1">
        <v>55</v>
      </c>
      <c r="J49" s="1">
        <v>49</v>
      </c>
      <c r="K49" s="1">
        <v>28</v>
      </c>
      <c r="L49" s="1">
        <v>37</v>
      </c>
      <c r="M49" s="1">
        <v>86</v>
      </c>
      <c r="N49" s="1">
        <v>89</v>
      </c>
      <c r="O49" s="1">
        <v>60</v>
      </c>
      <c r="P49" s="1">
        <v>61</v>
      </c>
      <c r="Q49" s="1">
        <v>26</v>
      </c>
      <c r="R49" s="1">
        <v>51</v>
      </c>
      <c r="S49" s="1">
        <v>112</v>
      </c>
      <c r="T49" s="1">
        <v>109</v>
      </c>
      <c r="U49" s="1">
        <v>198</v>
      </c>
      <c r="V49" s="1">
        <v>99</v>
      </c>
      <c r="W49" s="1">
        <v>120</v>
      </c>
      <c r="X49" s="1">
        <v>39</v>
      </c>
      <c r="Y49" s="1">
        <v>0</v>
      </c>
      <c r="Z49" s="1">
        <v>39</v>
      </c>
      <c r="AA49" s="1">
        <v>12</v>
      </c>
      <c r="AB49" s="1">
        <v>120</v>
      </c>
      <c r="AC49" s="1">
        <v>89</v>
      </c>
      <c r="AD49" s="1">
        <v>13</v>
      </c>
      <c r="AE49" s="1">
        <v>25</v>
      </c>
      <c r="AF49" s="1">
        <v>114</v>
      </c>
      <c r="AG49" s="1">
        <v>17</v>
      </c>
      <c r="AH49" s="1">
        <v>58</v>
      </c>
      <c r="AI49" s="1">
        <v>72</v>
      </c>
      <c r="AJ49" s="1">
        <v>60</v>
      </c>
      <c r="AK49" s="1">
        <v>5</v>
      </c>
      <c r="AL49" s="1">
        <v>8</v>
      </c>
      <c r="AM49" s="1">
        <v>7</v>
      </c>
      <c r="AN49" s="1">
        <v>20</v>
      </c>
      <c r="AO49" s="1">
        <v>34</v>
      </c>
      <c r="AP49" s="1">
        <v>7</v>
      </c>
      <c r="AQ49" s="1">
        <v>27</v>
      </c>
      <c r="AR49" s="1">
        <v>11</v>
      </c>
      <c r="AS49" s="1">
        <v>51</v>
      </c>
      <c r="AT49" s="1">
        <v>21</v>
      </c>
      <c r="AU49" s="1">
        <v>58</v>
      </c>
      <c r="AV49" s="1">
        <v>11</v>
      </c>
      <c r="AW49" s="1">
        <v>32</v>
      </c>
      <c r="AX49" s="1">
        <v>26</v>
      </c>
      <c r="AY49" s="1">
        <v>58</v>
      </c>
      <c r="AZ49" s="1">
        <v>7</v>
      </c>
      <c r="BA49" s="1">
        <v>12</v>
      </c>
      <c r="BB49" s="1">
        <v>12</v>
      </c>
      <c r="BC49" s="1">
        <v>31</v>
      </c>
      <c r="BD49" s="1">
        <v>52</v>
      </c>
      <c r="BE49" s="1">
        <v>12</v>
      </c>
      <c r="BF49" s="1">
        <v>60</v>
      </c>
      <c r="BG49" s="1">
        <v>13</v>
      </c>
      <c r="BH49" s="1">
        <v>11</v>
      </c>
      <c r="BI49" s="1">
        <v>15</v>
      </c>
      <c r="BJ49" s="1">
        <v>39</v>
      </c>
      <c r="BK49" s="1">
        <v>39</v>
      </c>
      <c r="BL49" s="1">
        <v>31</v>
      </c>
      <c r="BM49" s="1">
        <v>62</v>
      </c>
      <c r="BN49" s="1">
        <v>101</v>
      </c>
      <c r="BO49" s="1">
        <v>57</v>
      </c>
      <c r="BP49" s="1">
        <v>3.96</v>
      </c>
      <c r="BQ49" s="1">
        <v>3.23</v>
      </c>
      <c r="BR49" s="1">
        <v>1.7000000000000002</v>
      </c>
      <c r="BS49" s="1">
        <v>2.96</v>
      </c>
      <c r="BT49" s="1">
        <v>47</v>
      </c>
      <c r="BU49" s="1">
        <v>0</v>
      </c>
      <c r="BV49" s="1">
        <v>40.86</v>
      </c>
      <c r="BW49" s="1">
        <v>8</v>
      </c>
      <c r="BX49" s="1">
        <v>41.89</v>
      </c>
      <c r="BY49" s="1">
        <v>330.64</v>
      </c>
      <c r="BZ49" s="1">
        <v>41.75</v>
      </c>
      <c r="CA49" s="1">
        <v>3.33</v>
      </c>
      <c r="CB49" s="1">
        <v>36.17</v>
      </c>
      <c r="CC49" s="1">
        <v>3.86</v>
      </c>
      <c r="CD49" s="1">
        <v>39.049999999999997</v>
      </c>
      <c r="CE49" s="1">
        <v>1.22</v>
      </c>
      <c r="CF49" s="1">
        <v>37.74</v>
      </c>
      <c r="CG49" s="1">
        <v>0.01</v>
      </c>
      <c r="CH49" s="1">
        <v>41.9</v>
      </c>
      <c r="CI49" s="1">
        <v>0</v>
      </c>
      <c r="CJ49" s="1">
        <v>44.54</v>
      </c>
      <c r="CK49" s="1">
        <v>0.01</v>
      </c>
      <c r="CL49" s="1">
        <v>52.42</v>
      </c>
      <c r="CM49" s="1">
        <v>0.1</v>
      </c>
      <c r="CN49" s="1">
        <v>62.45</v>
      </c>
      <c r="CO49" s="1">
        <v>0.06</v>
      </c>
      <c r="CP49" s="1">
        <v>51.66</v>
      </c>
      <c r="CQ49" s="1">
        <v>-0.01</v>
      </c>
      <c r="CR49" s="1">
        <v>47.74</v>
      </c>
      <c r="CS49" s="1">
        <v>63</v>
      </c>
      <c r="CT49" s="1">
        <v>47</v>
      </c>
      <c r="CU49" s="1">
        <v>44</v>
      </c>
      <c r="CV49" s="1">
        <v>34</v>
      </c>
      <c r="CW49" s="1">
        <v>52</v>
      </c>
      <c r="CX49" s="1">
        <v>58</v>
      </c>
      <c r="CY49" s="1">
        <v>57</v>
      </c>
      <c r="CZ49" s="1">
        <v>51</v>
      </c>
      <c r="DA49" s="1">
        <v>1</v>
      </c>
    </row>
    <row r="50" spans="1:105" x14ac:dyDescent="0.15">
      <c r="A50" s="1" t="s">
        <v>270</v>
      </c>
      <c r="B50" s="1" t="s">
        <v>310</v>
      </c>
      <c r="C50" s="1">
        <v>1</v>
      </c>
      <c r="D50" s="1">
        <v>12</v>
      </c>
      <c r="E50" s="1">
        <v>38</v>
      </c>
      <c r="F50" s="1">
        <v>108</v>
      </c>
      <c r="G50" s="1">
        <v>98</v>
      </c>
      <c r="H50" s="1">
        <v>10</v>
      </c>
      <c r="I50" s="1">
        <v>61</v>
      </c>
      <c r="J50" s="1">
        <v>54</v>
      </c>
      <c r="K50" s="1">
        <v>34</v>
      </c>
      <c r="L50" s="1">
        <v>47</v>
      </c>
      <c r="M50" s="1">
        <v>101</v>
      </c>
      <c r="N50" s="1">
        <v>100</v>
      </c>
      <c r="O50" s="1">
        <v>58</v>
      </c>
      <c r="P50" s="1">
        <v>61</v>
      </c>
      <c r="Q50" s="1">
        <v>22</v>
      </c>
      <c r="R50" s="1">
        <v>47</v>
      </c>
      <c r="S50" s="1">
        <v>108</v>
      </c>
      <c r="T50" s="1">
        <v>106</v>
      </c>
      <c r="U50" s="1">
        <v>209</v>
      </c>
      <c r="V50" s="1">
        <v>104</v>
      </c>
      <c r="W50" s="1">
        <v>120</v>
      </c>
      <c r="X50" s="1">
        <v>29</v>
      </c>
      <c r="Y50" s="1">
        <v>1</v>
      </c>
      <c r="Z50" s="1">
        <v>28</v>
      </c>
      <c r="AA50" s="1">
        <v>8</v>
      </c>
      <c r="AB50" s="1">
        <v>120</v>
      </c>
      <c r="AC50" s="1">
        <v>70</v>
      </c>
      <c r="AD50" s="1">
        <v>10</v>
      </c>
      <c r="AE50" s="1">
        <v>18</v>
      </c>
      <c r="AF50" s="1">
        <v>94</v>
      </c>
      <c r="AG50" s="1">
        <v>14</v>
      </c>
      <c r="AH50" s="1">
        <v>67</v>
      </c>
      <c r="AI50" s="1">
        <v>67</v>
      </c>
      <c r="AJ50" s="1">
        <v>58</v>
      </c>
      <c r="AK50" s="1">
        <v>4</v>
      </c>
      <c r="AL50" s="1">
        <v>7</v>
      </c>
      <c r="AM50" s="1">
        <v>8</v>
      </c>
      <c r="AN50" s="1">
        <v>19</v>
      </c>
      <c r="AO50" s="1">
        <v>33</v>
      </c>
      <c r="AP50" s="1">
        <v>7</v>
      </c>
      <c r="AQ50" s="1">
        <v>33</v>
      </c>
      <c r="AR50" s="1">
        <v>10</v>
      </c>
      <c r="AS50" s="1">
        <v>44</v>
      </c>
      <c r="AT50" s="1">
        <v>17</v>
      </c>
      <c r="AU50" s="1">
        <v>47</v>
      </c>
      <c r="AV50" s="1">
        <v>13</v>
      </c>
      <c r="AW50" s="1">
        <v>39</v>
      </c>
      <c r="AX50" s="1">
        <v>26</v>
      </c>
      <c r="AY50" s="1">
        <v>62</v>
      </c>
      <c r="AZ50" s="1">
        <v>8</v>
      </c>
      <c r="BA50" s="1">
        <v>8</v>
      </c>
      <c r="BB50" s="1">
        <v>6</v>
      </c>
      <c r="BC50" s="1">
        <v>22</v>
      </c>
      <c r="BD50" s="1">
        <v>40</v>
      </c>
      <c r="BE50" s="1">
        <v>9</v>
      </c>
      <c r="BF50" s="1">
        <v>43</v>
      </c>
      <c r="BG50" s="1">
        <v>14</v>
      </c>
      <c r="BH50" s="1">
        <v>13</v>
      </c>
      <c r="BI50" s="1">
        <v>15</v>
      </c>
      <c r="BJ50" s="1">
        <v>42</v>
      </c>
      <c r="BK50" s="1">
        <v>47</v>
      </c>
      <c r="BL50" s="1">
        <v>29</v>
      </c>
      <c r="BM50" s="1">
        <v>59</v>
      </c>
      <c r="BN50" s="1">
        <v>104</v>
      </c>
      <c r="BO50" s="1">
        <v>60</v>
      </c>
      <c r="BP50" s="1">
        <v>3.96</v>
      </c>
      <c r="BQ50" s="1">
        <v>4.24</v>
      </c>
      <c r="BR50" s="1">
        <v>2.12</v>
      </c>
      <c r="BS50" s="1">
        <v>3.44</v>
      </c>
      <c r="BT50" s="1">
        <v>55</v>
      </c>
      <c r="BU50" s="1">
        <v>2</v>
      </c>
      <c r="BV50" s="1">
        <v>46.88</v>
      </c>
      <c r="BW50" s="1">
        <v>15</v>
      </c>
      <c r="BX50" s="1">
        <v>50.88</v>
      </c>
      <c r="BY50" s="1">
        <v>344.65</v>
      </c>
      <c r="BZ50" s="1">
        <v>44.27</v>
      </c>
      <c r="CA50" s="1">
        <v>4.54</v>
      </c>
      <c r="CB50" s="1">
        <v>45.45</v>
      </c>
      <c r="CC50" s="1">
        <v>4.1399999999999997</v>
      </c>
      <c r="CD50" s="1">
        <v>40.33</v>
      </c>
      <c r="CE50" s="1">
        <v>0.75</v>
      </c>
      <c r="CF50" s="1">
        <v>47.87</v>
      </c>
      <c r="CG50" s="1">
        <v>0.24</v>
      </c>
      <c r="CH50" s="1">
        <v>44.46</v>
      </c>
      <c r="CI50" s="1">
        <v>1</v>
      </c>
      <c r="CJ50" s="1">
        <v>50.91</v>
      </c>
      <c r="CK50" s="1">
        <v>0.01</v>
      </c>
      <c r="CL50" s="1">
        <v>51.71</v>
      </c>
      <c r="CM50" s="1">
        <v>-0.03</v>
      </c>
      <c r="CN50" s="1">
        <v>45.66</v>
      </c>
      <c r="CO50" s="1">
        <v>0.08</v>
      </c>
      <c r="CP50" s="1">
        <v>57.64</v>
      </c>
      <c r="CQ50" s="1">
        <v>-0.09</v>
      </c>
      <c r="CR50" s="1">
        <v>41.04</v>
      </c>
      <c r="CS50" s="1">
        <v>65</v>
      </c>
      <c r="CT50" s="1">
        <v>55</v>
      </c>
      <c r="CU50" s="1">
        <v>42</v>
      </c>
      <c r="CV50" s="1">
        <v>33</v>
      </c>
      <c r="CW50" s="1">
        <v>40</v>
      </c>
      <c r="CX50" s="1">
        <v>62</v>
      </c>
      <c r="CY50" s="1">
        <v>60</v>
      </c>
      <c r="CZ50" s="1">
        <v>51</v>
      </c>
      <c r="DA50" s="1">
        <v>1</v>
      </c>
    </row>
    <row r="51" spans="1:105" x14ac:dyDescent="0.15">
      <c r="A51" s="1" t="s">
        <v>266</v>
      </c>
      <c r="B51" s="1" t="s">
        <v>448</v>
      </c>
      <c r="C51" s="1">
        <v>1</v>
      </c>
      <c r="D51" s="1">
        <v>13</v>
      </c>
      <c r="E51" s="1">
        <v>33</v>
      </c>
      <c r="F51" s="1">
        <v>100</v>
      </c>
      <c r="G51" s="1">
        <v>105</v>
      </c>
      <c r="H51" s="1">
        <v>-5</v>
      </c>
      <c r="I51" s="1">
        <v>47</v>
      </c>
      <c r="J51" s="1">
        <v>40</v>
      </c>
      <c r="K51" s="1">
        <v>35</v>
      </c>
      <c r="L51" s="1">
        <v>50</v>
      </c>
      <c r="M51" s="1">
        <v>90</v>
      </c>
      <c r="N51" s="1">
        <v>92</v>
      </c>
      <c r="O51" s="1">
        <v>42</v>
      </c>
      <c r="P51" s="1">
        <v>49</v>
      </c>
      <c r="Q51" s="1">
        <v>28</v>
      </c>
      <c r="R51" s="1">
        <v>55</v>
      </c>
      <c r="S51" s="1">
        <v>104</v>
      </c>
      <c r="T51" s="1">
        <v>103</v>
      </c>
      <c r="U51" s="1">
        <v>194</v>
      </c>
      <c r="V51" s="1">
        <v>92</v>
      </c>
      <c r="W51" s="1">
        <v>120</v>
      </c>
      <c r="X51" s="1">
        <v>22</v>
      </c>
      <c r="Y51" s="1">
        <v>1</v>
      </c>
      <c r="Z51" s="1">
        <v>21</v>
      </c>
      <c r="AA51" s="1">
        <v>6</v>
      </c>
      <c r="AB51" s="1">
        <v>120</v>
      </c>
      <c r="AC51" s="1">
        <v>63</v>
      </c>
      <c r="AD51" s="1">
        <v>8</v>
      </c>
      <c r="AE51" s="1">
        <v>14</v>
      </c>
      <c r="AF51" s="1">
        <v>84</v>
      </c>
      <c r="AG51" s="1">
        <v>33</v>
      </c>
      <c r="AH51" s="1">
        <v>38</v>
      </c>
      <c r="AI51" s="1">
        <v>63</v>
      </c>
      <c r="AJ51" s="1">
        <v>47</v>
      </c>
      <c r="AK51" s="1">
        <v>8</v>
      </c>
      <c r="AL51" s="1">
        <v>10</v>
      </c>
      <c r="AM51" s="1">
        <v>11</v>
      </c>
      <c r="AN51" s="1">
        <v>29</v>
      </c>
      <c r="AO51" s="1">
        <v>49</v>
      </c>
      <c r="AP51" s="1">
        <v>7</v>
      </c>
      <c r="AQ51" s="1">
        <v>27</v>
      </c>
      <c r="AR51" s="1">
        <v>11</v>
      </c>
      <c r="AS51" s="1">
        <v>51</v>
      </c>
      <c r="AT51" s="1">
        <v>16</v>
      </c>
      <c r="AU51" s="1">
        <v>46</v>
      </c>
      <c r="AV51" s="1">
        <v>15</v>
      </c>
      <c r="AW51" s="1">
        <v>47</v>
      </c>
      <c r="AX51" s="1">
        <v>16</v>
      </c>
      <c r="AY51" s="1">
        <v>36</v>
      </c>
      <c r="AZ51" s="1">
        <v>7</v>
      </c>
      <c r="BA51" s="1">
        <v>12</v>
      </c>
      <c r="BB51" s="1">
        <v>12</v>
      </c>
      <c r="BC51" s="1">
        <v>31</v>
      </c>
      <c r="BD51" s="1">
        <v>52</v>
      </c>
      <c r="BE51" s="1">
        <v>12</v>
      </c>
      <c r="BF51" s="1">
        <v>59</v>
      </c>
      <c r="BG51" s="1">
        <v>13</v>
      </c>
      <c r="BH51" s="1">
        <v>7</v>
      </c>
      <c r="BI51" s="1">
        <v>9</v>
      </c>
      <c r="BJ51" s="1">
        <v>29</v>
      </c>
      <c r="BK51" s="1">
        <v>35</v>
      </c>
      <c r="BL51" s="1">
        <v>20</v>
      </c>
      <c r="BM51" s="1">
        <v>42</v>
      </c>
      <c r="BN51" s="1">
        <v>103</v>
      </c>
      <c r="BO51" s="1">
        <v>58</v>
      </c>
      <c r="BP51" s="1">
        <v>3.96</v>
      </c>
      <c r="BQ51" s="1">
        <v>2.12</v>
      </c>
      <c r="BR51" s="1">
        <v>0.81</v>
      </c>
      <c r="BS51" s="1">
        <v>2.2999999999999998</v>
      </c>
      <c r="BT51" s="1">
        <v>39</v>
      </c>
      <c r="BU51" s="1">
        <v>2</v>
      </c>
      <c r="BV51" s="1">
        <v>49.76</v>
      </c>
      <c r="BW51" s="1">
        <v>12</v>
      </c>
      <c r="BX51" s="1">
        <v>52.04</v>
      </c>
      <c r="BY51" s="1">
        <v>448.09</v>
      </c>
      <c r="BZ51" s="1">
        <v>58.7</v>
      </c>
      <c r="CA51" s="1">
        <v>8.6199999999999992</v>
      </c>
      <c r="CB51" s="1">
        <v>66.91</v>
      </c>
      <c r="CC51" s="1">
        <v>12.17</v>
      </c>
      <c r="CD51" s="1">
        <v>61.59</v>
      </c>
      <c r="CE51" s="1">
        <v>0.54</v>
      </c>
      <c r="CF51" s="1">
        <v>57.57</v>
      </c>
      <c r="CG51" s="1">
        <v>0.79</v>
      </c>
      <c r="CH51" s="1">
        <v>49.75</v>
      </c>
      <c r="CI51" s="1">
        <v>1</v>
      </c>
      <c r="CJ51" s="1">
        <v>54.98</v>
      </c>
      <c r="CK51" s="1">
        <v>0.01</v>
      </c>
      <c r="CL51" s="1">
        <v>53.42</v>
      </c>
      <c r="CM51" s="1">
        <v>0</v>
      </c>
      <c r="CN51" s="1">
        <v>52.4</v>
      </c>
      <c r="CO51" s="1">
        <v>0.1</v>
      </c>
      <c r="CP51" s="1">
        <v>66.13</v>
      </c>
      <c r="CQ51" s="1">
        <v>0.03</v>
      </c>
      <c r="CR51" s="1">
        <v>50.91</v>
      </c>
      <c r="CS51" s="1">
        <v>40</v>
      </c>
      <c r="CT51" s="1">
        <v>39</v>
      </c>
      <c r="CU51" s="1">
        <v>46</v>
      </c>
      <c r="CV51" s="1">
        <v>49</v>
      </c>
      <c r="CW51" s="1">
        <v>52</v>
      </c>
      <c r="CX51" s="1">
        <v>36</v>
      </c>
      <c r="CY51" s="1">
        <v>58</v>
      </c>
      <c r="CZ51" s="1">
        <v>43</v>
      </c>
      <c r="DA51" s="1">
        <v>1</v>
      </c>
    </row>
    <row r="52" spans="1:105" x14ac:dyDescent="0.15">
      <c r="A52" s="1" t="s">
        <v>272</v>
      </c>
      <c r="B52" s="1" t="s">
        <v>311</v>
      </c>
      <c r="C52" s="1">
        <v>3</v>
      </c>
      <c r="D52" s="1">
        <v>13</v>
      </c>
      <c r="E52" s="1">
        <v>34</v>
      </c>
      <c r="F52" s="1">
        <v>101</v>
      </c>
      <c r="G52" s="1">
        <v>102</v>
      </c>
      <c r="H52" s="1">
        <v>-1</v>
      </c>
      <c r="I52" s="1">
        <v>65</v>
      </c>
      <c r="J52" s="1">
        <v>57</v>
      </c>
      <c r="K52" s="1">
        <v>41</v>
      </c>
      <c r="L52" s="1">
        <v>59</v>
      </c>
      <c r="M52" s="1">
        <v>116</v>
      </c>
      <c r="N52" s="1">
        <v>112</v>
      </c>
      <c r="O52" s="1">
        <v>24</v>
      </c>
      <c r="P52" s="1">
        <v>42</v>
      </c>
      <c r="Q52" s="1">
        <v>26</v>
      </c>
      <c r="R52" s="1">
        <v>58</v>
      </c>
      <c r="S52" s="1">
        <v>100</v>
      </c>
      <c r="T52" s="1">
        <v>99</v>
      </c>
      <c r="U52" s="1">
        <v>216</v>
      </c>
      <c r="V52" s="1">
        <v>107</v>
      </c>
      <c r="W52" s="1">
        <v>120</v>
      </c>
      <c r="X52" s="1">
        <v>30</v>
      </c>
      <c r="Y52" s="1">
        <v>0</v>
      </c>
      <c r="Z52" s="1">
        <v>30</v>
      </c>
      <c r="AA52" s="1">
        <v>10</v>
      </c>
      <c r="AB52" s="1">
        <v>120</v>
      </c>
      <c r="AC52" s="1">
        <v>69</v>
      </c>
      <c r="AD52" s="1">
        <v>11</v>
      </c>
      <c r="AE52" s="1">
        <v>21</v>
      </c>
      <c r="AF52" s="1">
        <v>102</v>
      </c>
      <c r="AG52" s="1">
        <v>20</v>
      </c>
      <c r="AH52" s="1">
        <v>60</v>
      </c>
      <c r="AI52" s="1">
        <v>66</v>
      </c>
      <c r="AJ52" s="1">
        <v>64</v>
      </c>
      <c r="AK52" s="1">
        <v>8</v>
      </c>
      <c r="AL52" s="1">
        <v>9</v>
      </c>
      <c r="AM52" s="1">
        <v>8</v>
      </c>
      <c r="AN52" s="1">
        <v>25</v>
      </c>
      <c r="AO52" s="1">
        <v>44</v>
      </c>
      <c r="AP52" s="1">
        <v>7</v>
      </c>
      <c r="AQ52" s="1">
        <v>32</v>
      </c>
      <c r="AR52" s="1">
        <v>10</v>
      </c>
      <c r="AS52" s="1">
        <v>45</v>
      </c>
      <c r="AT52" s="1">
        <v>20</v>
      </c>
      <c r="AU52" s="1">
        <v>61</v>
      </c>
      <c r="AV52" s="1">
        <v>16</v>
      </c>
      <c r="AW52" s="1">
        <v>50</v>
      </c>
      <c r="AX52" s="1">
        <v>20</v>
      </c>
      <c r="AY52" s="1">
        <v>50</v>
      </c>
      <c r="AZ52" s="1">
        <v>6</v>
      </c>
      <c r="BA52" s="1">
        <v>6</v>
      </c>
      <c r="BB52" s="1">
        <v>9</v>
      </c>
      <c r="BC52" s="1">
        <v>21</v>
      </c>
      <c r="BD52" s="1">
        <v>51</v>
      </c>
      <c r="BE52" s="1">
        <v>9</v>
      </c>
      <c r="BF52" s="1">
        <v>49</v>
      </c>
      <c r="BG52" s="1">
        <v>15</v>
      </c>
      <c r="BH52" s="1">
        <v>10</v>
      </c>
      <c r="BI52" s="1">
        <v>13</v>
      </c>
      <c r="BJ52" s="1">
        <v>38</v>
      </c>
      <c r="BK52" s="1">
        <v>41</v>
      </c>
      <c r="BL52" s="1">
        <v>25</v>
      </c>
      <c r="BM52" s="1">
        <v>53</v>
      </c>
      <c r="BN52" s="1">
        <v>111</v>
      </c>
      <c r="BO52" s="1">
        <v>66</v>
      </c>
      <c r="BP52" s="1">
        <v>3.96</v>
      </c>
      <c r="BQ52" s="1">
        <v>4.24</v>
      </c>
      <c r="BR52" s="1">
        <v>2.12</v>
      </c>
      <c r="BS52" s="1">
        <v>3.44</v>
      </c>
      <c r="BT52" s="1">
        <v>57</v>
      </c>
      <c r="BU52" s="1">
        <v>0</v>
      </c>
      <c r="BV52" s="1">
        <v>42.1</v>
      </c>
      <c r="BW52" s="1">
        <v>0</v>
      </c>
      <c r="BX52" s="1">
        <v>33.380000000000003</v>
      </c>
      <c r="BY52" s="1">
        <v>538.23</v>
      </c>
      <c r="BZ52" s="1">
        <v>76.39</v>
      </c>
      <c r="CA52" s="1">
        <v>5</v>
      </c>
      <c r="CB52" s="1">
        <v>49.23</v>
      </c>
      <c r="CC52" s="1">
        <v>2.52</v>
      </c>
      <c r="CD52" s="1">
        <v>28.18</v>
      </c>
      <c r="CE52" s="1">
        <v>2.16</v>
      </c>
      <c r="CF52" s="1">
        <v>21.52</v>
      </c>
      <c r="CG52" s="1">
        <v>3.33</v>
      </c>
      <c r="CH52" s="1">
        <v>68</v>
      </c>
      <c r="CI52" s="1">
        <v>0</v>
      </c>
      <c r="CJ52" s="1">
        <v>45.77</v>
      </c>
      <c r="CK52" s="1">
        <v>-0.02</v>
      </c>
      <c r="CL52" s="1">
        <v>42.68</v>
      </c>
      <c r="CM52" s="1">
        <v>0.03</v>
      </c>
      <c r="CN52" s="1">
        <v>62.98</v>
      </c>
      <c r="CO52" s="1">
        <v>7.0000000000000007E-2</v>
      </c>
      <c r="CP52" s="1">
        <v>60.11</v>
      </c>
      <c r="CQ52" s="1">
        <v>-0.05</v>
      </c>
      <c r="CR52" s="1">
        <v>44.81</v>
      </c>
      <c r="CS52" s="1">
        <v>62</v>
      </c>
      <c r="CT52" s="1">
        <v>57</v>
      </c>
      <c r="CU52" s="1">
        <v>57</v>
      </c>
      <c r="CV52" s="1">
        <v>44</v>
      </c>
      <c r="CW52" s="1">
        <v>46</v>
      </c>
      <c r="CX52" s="1">
        <v>50</v>
      </c>
      <c r="CY52" s="1">
        <v>66</v>
      </c>
      <c r="CZ52" s="1">
        <v>57</v>
      </c>
      <c r="DA52" s="1">
        <v>1</v>
      </c>
    </row>
    <row r="53" spans="1:105" x14ac:dyDescent="0.15">
      <c r="A53" s="1" t="s">
        <v>274</v>
      </c>
      <c r="B53" s="1" t="s">
        <v>449</v>
      </c>
      <c r="C53" s="1">
        <v>3</v>
      </c>
      <c r="D53" s="1">
        <v>13</v>
      </c>
      <c r="E53" s="1">
        <v>37</v>
      </c>
      <c r="F53" s="1">
        <v>105</v>
      </c>
      <c r="G53" s="1">
        <v>102</v>
      </c>
      <c r="H53" s="1">
        <v>3</v>
      </c>
      <c r="I53" s="1">
        <v>65</v>
      </c>
      <c r="J53" s="1">
        <v>57</v>
      </c>
      <c r="K53" s="1">
        <v>39</v>
      </c>
      <c r="L53" s="1">
        <v>57</v>
      </c>
      <c r="M53" s="1">
        <v>114</v>
      </c>
      <c r="N53" s="1">
        <v>110</v>
      </c>
      <c r="O53" s="1">
        <v>50</v>
      </c>
      <c r="P53" s="1">
        <v>58</v>
      </c>
      <c r="Q53" s="1">
        <v>28</v>
      </c>
      <c r="R53" s="1">
        <v>61</v>
      </c>
      <c r="S53" s="1">
        <v>119</v>
      </c>
      <c r="T53" s="1">
        <v>116</v>
      </c>
      <c r="U53" s="1">
        <v>233</v>
      </c>
      <c r="V53" s="1">
        <v>115</v>
      </c>
      <c r="W53" s="1">
        <v>120</v>
      </c>
      <c r="X53" s="1">
        <v>43</v>
      </c>
      <c r="Y53" s="1">
        <v>0</v>
      </c>
      <c r="Z53" s="1">
        <v>43</v>
      </c>
      <c r="AA53" s="1">
        <v>15</v>
      </c>
      <c r="AB53" s="1">
        <v>120</v>
      </c>
      <c r="AC53" s="1">
        <v>85</v>
      </c>
      <c r="AD53" s="1">
        <v>14</v>
      </c>
      <c r="AE53" s="1">
        <v>29</v>
      </c>
      <c r="AF53" s="1">
        <v>124</v>
      </c>
      <c r="AG53" s="1">
        <v>23</v>
      </c>
      <c r="AH53" s="1">
        <v>55</v>
      </c>
      <c r="AI53" s="1">
        <v>78</v>
      </c>
      <c r="AJ53" s="1">
        <v>76</v>
      </c>
      <c r="AK53" s="1">
        <v>6</v>
      </c>
      <c r="AL53" s="1">
        <v>11</v>
      </c>
      <c r="AM53" s="1">
        <v>11</v>
      </c>
      <c r="AN53" s="1">
        <v>28</v>
      </c>
      <c r="AO53" s="1">
        <v>50</v>
      </c>
      <c r="AP53" s="1">
        <v>9</v>
      </c>
      <c r="AQ53" s="1">
        <v>44</v>
      </c>
      <c r="AR53" s="1">
        <v>11</v>
      </c>
      <c r="AS53" s="1">
        <v>49</v>
      </c>
      <c r="AT53" s="1">
        <v>20</v>
      </c>
      <c r="AU53" s="1">
        <v>61</v>
      </c>
      <c r="AV53" s="1">
        <v>17</v>
      </c>
      <c r="AW53" s="1">
        <v>53</v>
      </c>
      <c r="AX53" s="1">
        <v>23</v>
      </c>
      <c r="AY53" s="1">
        <v>57</v>
      </c>
      <c r="AZ53" s="1">
        <v>4</v>
      </c>
      <c r="BA53" s="1">
        <v>10</v>
      </c>
      <c r="BB53" s="1">
        <v>10</v>
      </c>
      <c r="BC53" s="1">
        <v>24</v>
      </c>
      <c r="BD53" s="1">
        <v>51</v>
      </c>
      <c r="BE53" s="1">
        <v>11</v>
      </c>
      <c r="BF53" s="1">
        <v>59</v>
      </c>
      <c r="BG53" s="1">
        <v>18</v>
      </c>
      <c r="BH53" s="1">
        <v>16</v>
      </c>
      <c r="BI53" s="1">
        <v>17</v>
      </c>
      <c r="BJ53" s="1">
        <v>51</v>
      </c>
      <c r="BK53" s="1">
        <v>50</v>
      </c>
      <c r="BL53" s="1">
        <v>26</v>
      </c>
      <c r="BM53" s="1">
        <v>55</v>
      </c>
      <c r="BN53" s="1">
        <v>96</v>
      </c>
      <c r="BO53" s="1">
        <v>48</v>
      </c>
      <c r="BP53" s="1">
        <v>4.24</v>
      </c>
      <c r="BQ53" s="1">
        <v>3.96</v>
      </c>
      <c r="BR53" s="1">
        <v>3.4</v>
      </c>
      <c r="BS53" s="1">
        <v>3.87</v>
      </c>
      <c r="BT53" s="1">
        <v>63</v>
      </c>
      <c r="BU53" s="1">
        <v>0</v>
      </c>
      <c r="BV53" s="1">
        <v>42.1</v>
      </c>
      <c r="BW53" s="1">
        <v>4</v>
      </c>
      <c r="BX53" s="1">
        <v>38.04</v>
      </c>
      <c r="BY53" s="1">
        <v>368.66</v>
      </c>
      <c r="BZ53" s="1">
        <v>46.48</v>
      </c>
      <c r="CA53" s="1">
        <v>4.08</v>
      </c>
      <c r="CB53" s="1">
        <v>41.33</v>
      </c>
      <c r="CC53" s="1">
        <v>4.41</v>
      </c>
      <c r="CD53" s="1">
        <v>42.43</v>
      </c>
      <c r="CE53" s="1">
        <v>1.5</v>
      </c>
      <c r="CF53" s="1">
        <v>34.47</v>
      </c>
      <c r="CG53" s="1">
        <v>0</v>
      </c>
      <c r="CH53" s="1">
        <v>44.29</v>
      </c>
      <c r="CI53" s="1">
        <v>0</v>
      </c>
      <c r="CJ53" s="1">
        <v>45.77</v>
      </c>
      <c r="CK53" s="1">
        <v>0</v>
      </c>
      <c r="CL53" s="1">
        <v>49.41</v>
      </c>
      <c r="CM53" s="1">
        <v>0.05</v>
      </c>
      <c r="CN53" s="1">
        <v>66.66</v>
      </c>
      <c r="CO53" s="1">
        <v>0.04</v>
      </c>
      <c r="CP53" s="1">
        <v>47.5</v>
      </c>
      <c r="CQ53" s="1">
        <v>-0.08</v>
      </c>
      <c r="CR53" s="1">
        <v>41.91</v>
      </c>
      <c r="CS53" s="1">
        <v>66</v>
      </c>
      <c r="CT53" s="1">
        <v>63</v>
      </c>
      <c r="CU53" s="1">
        <v>58</v>
      </c>
      <c r="CV53" s="1">
        <v>50</v>
      </c>
      <c r="CW53" s="1">
        <v>51</v>
      </c>
      <c r="CX53" s="1">
        <v>57</v>
      </c>
      <c r="CY53" s="1">
        <v>48</v>
      </c>
      <c r="CZ53" s="1">
        <v>59</v>
      </c>
      <c r="DA53" s="1">
        <v>1</v>
      </c>
    </row>
    <row r="54" spans="1:105" x14ac:dyDescent="0.15">
      <c r="A54" s="1" t="s">
        <v>276</v>
      </c>
      <c r="B54" s="1" t="s">
        <v>450</v>
      </c>
      <c r="C54" s="1">
        <v>1</v>
      </c>
      <c r="E54" s="1">
        <v>31</v>
      </c>
      <c r="F54" s="1">
        <v>96</v>
      </c>
      <c r="G54" s="1">
        <v>105</v>
      </c>
      <c r="I54" s="1">
        <v>64</v>
      </c>
      <c r="J54" s="1">
        <v>56</v>
      </c>
      <c r="K54" s="1">
        <v>40</v>
      </c>
      <c r="L54" s="1">
        <v>58</v>
      </c>
      <c r="M54" s="1">
        <v>114</v>
      </c>
      <c r="N54" s="1">
        <v>110</v>
      </c>
      <c r="O54" s="1">
        <v>51</v>
      </c>
      <c r="P54" s="1">
        <v>59</v>
      </c>
      <c r="Q54" s="1">
        <v>31</v>
      </c>
      <c r="R54" s="1">
        <v>67</v>
      </c>
      <c r="S54" s="1">
        <v>126</v>
      </c>
      <c r="T54" s="1">
        <v>123</v>
      </c>
      <c r="U54" s="1">
        <v>240</v>
      </c>
      <c r="W54" s="1">
        <v>120</v>
      </c>
      <c r="X54" s="1">
        <v>44</v>
      </c>
      <c r="Y54" s="1">
        <v>2</v>
      </c>
      <c r="Z54" s="1">
        <v>42</v>
      </c>
      <c r="AA54" s="1">
        <v>15</v>
      </c>
      <c r="AB54" s="1">
        <v>120</v>
      </c>
      <c r="AC54" s="1">
        <v>68</v>
      </c>
      <c r="AD54" s="1">
        <v>11</v>
      </c>
      <c r="AE54" s="1">
        <v>26</v>
      </c>
      <c r="AG54" s="1">
        <v>35</v>
      </c>
      <c r="AH54" s="1">
        <v>42</v>
      </c>
      <c r="AI54" s="1">
        <v>50</v>
      </c>
      <c r="AJ54" s="1">
        <v>47</v>
      </c>
      <c r="AK54" s="1">
        <v>8</v>
      </c>
      <c r="AL54" s="1">
        <v>11</v>
      </c>
      <c r="AM54" s="1">
        <v>12</v>
      </c>
      <c r="AN54" s="1">
        <v>31</v>
      </c>
      <c r="AO54" s="1">
        <v>58</v>
      </c>
      <c r="AP54" s="1">
        <v>10</v>
      </c>
      <c r="AQ54" s="1">
        <v>50</v>
      </c>
      <c r="AR54" s="1">
        <v>9</v>
      </c>
      <c r="AS54" s="1">
        <v>39</v>
      </c>
      <c r="AT54" s="1">
        <v>19</v>
      </c>
      <c r="AU54" s="1">
        <v>58</v>
      </c>
      <c r="AV54" s="1">
        <v>14</v>
      </c>
      <c r="AW54" s="1">
        <v>44</v>
      </c>
      <c r="AX54" s="1">
        <v>23</v>
      </c>
      <c r="AY54" s="1">
        <v>58</v>
      </c>
      <c r="AZ54" s="1">
        <v>6</v>
      </c>
      <c r="BA54" s="1">
        <v>8</v>
      </c>
      <c r="BB54" s="1">
        <v>8</v>
      </c>
      <c r="BC54" s="1">
        <v>22</v>
      </c>
      <c r="BD54" s="1">
        <v>48</v>
      </c>
      <c r="BE54" s="1">
        <v>8</v>
      </c>
      <c r="BF54" s="1">
        <v>44</v>
      </c>
      <c r="BG54" s="1">
        <v>7</v>
      </c>
      <c r="BH54" s="1">
        <v>7</v>
      </c>
      <c r="BI54" s="1">
        <v>8</v>
      </c>
      <c r="BJ54" s="1">
        <v>22</v>
      </c>
      <c r="BK54" s="1">
        <v>29</v>
      </c>
      <c r="BL54" s="1">
        <v>23</v>
      </c>
      <c r="BM54" s="1">
        <v>50</v>
      </c>
      <c r="BN54" s="1">
        <v>87</v>
      </c>
      <c r="BO54" s="1">
        <v>38</v>
      </c>
      <c r="BP54" s="1">
        <v>3.34</v>
      </c>
      <c r="BQ54" s="1">
        <v>2.78</v>
      </c>
      <c r="BR54" s="1">
        <v>1.4</v>
      </c>
      <c r="BS54" s="1">
        <v>2.5099999999999998</v>
      </c>
      <c r="BU54" s="1">
        <v>0</v>
      </c>
      <c r="BV54" s="1">
        <v>42.1</v>
      </c>
      <c r="BW54" s="1">
        <v>3</v>
      </c>
      <c r="BX54" s="1">
        <v>36.869999999999997</v>
      </c>
      <c r="BY54" s="1">
        <v>430.67</v>
      </c>
      <c r="BZ54" s="1">
        <v>58.77</v>
      </c>
      <c r="CA54" s="1">
        <v>5.44</v>
      </c>
      <c r="CB54" s="1">
        <v>52.56</v>
      </c>
      <c r="CC54" s="1">
        <v>3.8</v>
      </c>
      <c r="CD54" s="1">
        <v>38.65</v>
      </c>
      <c r="CE54" s="1">
        <v>1.52</v>
      </c>
      <c r="CF54" s="1">
        <v>33.93</v>
      </c>
      <c r="CG54" s="1">
        <v>1.27</v>
      </c>
      <c r="CH54" s="1">
        <v>53.31</v>
      </c>
      <c r="CI54" s="1">
        <v>0</v>
      </c>
      <c r="CJ54" s="1">
        <v>45.77</v>
      </c>
      <c r="CK54" s="1">
        <v>0</v>
      </c>
      <c r="CL54" s="1">
        <v>47.73</v>
      </c>
      <c r="CM54" s="1">
        <v>-0.01</v>
      </c>
      <c r="CN54" s="1">
        <v>55.55</v>
      </c>
      <c r="CO54" s="1">
        <v>0.11</v>
      </c>
      <c r="CP54" s="1">
        <v>72.55</v>
      </c>
      <c r="CQ54" s="1">
        <v>-0.02</v>
      </c>
      <c r="CS54" s="1">
        <v>45</v>
      </c>
      <c r="CT54" s="1">
        <v>43</v>
      </c>
      <c r="CU54" s="1">
        <v>51</v>
      </c>
      <c r="CV54" s="1">
        <v>58</v>
      </c>
      <c r="CW54" s="1">
        <v>48</v>
      </c>
      <c r="CX54" s="1">
        <v>58</v>
      </c>
      <c r="CY54" s="1">
        <v>38</v>
      </c>
      <c r="CZ54" s="1">
        <v>47</v>
      </c>
      <c r="DA54" s="1">
        <v>1</v>
      </c>
    </row>
    <row r="55" spans="1:105" x14ac:dyDescent="0.15">
      <c r="A55" s="1" t="s">
        <v>278</v>
      </c>
      <c r="B55" s="1" t="s">
        <v>451</v>
      </c>
      <c r="C55" s="1">
        <v>3</v>
      </c>
      <c r="D55" s="1">
        <v>14</v>
      </c>
      <c r="E55" s="1">
        <v>36</v>
      </c>
      <c r="F55" s="1">
        <v>105</v>
      </c>
      <c r="G55" s="1">
        <v>102</v>
      </c>
      <c r="H55" s="1">
        <v>3</v>
      </c>
      <c r="I55" s="1">
        <v>58</v>
      </c>
      <c r="J55" s="1">
        <v>50</v>
      </c>
      <c r="K55" s="1">
        <v>35</v>
      </c>
      <c r="L55" s="1">
        <v>49</v>
      </c>
      <c r="M55" s="1">
        <v>99</v>
      </c>
      <c r="N55" s="1">
        <v>99</v>
      </c>
      <c r="O55" s="1">
        <v>40</v>
      </c>
      <c r="P55" s="1">
        <v>50</v>
      </c>
      <c r="Q55" s="1">
        <v>26</v>
      </c>
      <c r="R55" s="1">
        <v>54</v>
      </c>
      <c r="S55" s="1">
        <v>104</v>
      </c>
      <c r="T55" s="1">
        <v>103</v>
      </c>
      <c r="U55" s="1">
        <v>203</v>
      </c>
      <c r="V55" s="1">
        <v>101</v>
      </c>
      <c r="W55" s="1">
        <v>120</v>
      </c>
      <c r="X55" s="1">
        <v>43</v>
      </c>
      <c r="Y55" s="1">
        <v>0</v>
      </c>
      <c r="Z55" s="1">
        <v>43</v>
      </c>
      <c r="AA55" s="1">
        <v>14</v>
      </c>
      <c r="AB55" s="1">
        <v>120</v>
      </c>
      <c r="AC55" s="1">
        <v>76</v>
      </c>
      <c r="AD55" s="1">
        <v>11</v>
      </c>
      <c r="AE55" s="1">
        <v>25</v>
      </c>
      <c r="AF55" s="1">
        <v>114</v>
      </c>
      <c r="AG55" s="1">
        <v>17</v>
      </c>
      <c r="AH55" s="1">
        <v>62</v>
      </c>
      <c r="AI55" s="1">
        <v>62</v>
      </c>
      <c r="AJ55" s="1">
        <v>50</v>
      </c>
      <c r="AK55" s="1">
        <v>9</v>
      </c>
      <c r="AL55" s="1">
        <v>12</v>
      </c>
      <c r="AM55" s="1">
        <v>10</v>
      </c>
      <c r="AN55" s="1">
        <v>31</v>
      </c>
      <c r="AO55" s="1">
        <v>55</v>
      </c>
      <c r="AP55" s="1">
        <v>11</v>
      </c>
      <c r="AQ55" s="1">
        <v>55</v>
      </c>
      <c r="AR55" s="1">
        <v>12</v>
      </c>
      <c r="AS55" s="1">
        <v>58</v>
      </c>
      <c r="AT55" s="1">
        <v>19</v>
      </c>
      <c r="AU55" s="1">
        <v>59</v>
      </c>
      <c r="AV55" s="1">
        <v>15</v>
      </c>
      <c r="AW55" s="1">
        <v>48</v>
      </c>
      <c r="AX55" s="1">
        <v>26</v>
      </c>
      <c r="AY55" s="1">
        <v>66</v>
      </c>
      <c r="AZ55" s="1">
        <v>6</v>
      </c>
      <c r="BA55" s="1">
        <v>9</v>
      </c>
      <c r="BB55" s="1">
        <v>8</v>
      </c>
      <c r="BC55" s="1">
        <v>23</v>
      </c>
      <c r="BD55" s="1">
        <v>43</v>
      </c>
      <c r="BE55" s="1">
        <v>11</v>
      </c>
      <c r="BF55" s="1">
        <v>56</v>
      </c>
      <c r="BG55" s="1">
        <v>14</v>
      </c>
      <c r="BH55" s="1">
        <v>8</v>
      </c>
      <c r="BI55" s="1">
        <v>15</v>
      </c>
      <c r="BJ55" s="1">
        <v>37</v>
      </c>
      <c r="BK55" s="1">
        <v>39</v>
      </c>
      <c r="BL55" s="1">
        <v>23</v>
      </c>
      <c r="BM55" s="1">
        <v>49</v>
      </c>
      <c r="BN55" s="1">
        <v>105</v>
      </c>
      <c r="BO55" s="1">
        <v>59</v>
      </c>
      <c r="BP55" s="1">
        <v>4.24</v>
      </c>
      <c r="BQ55" s="1">
        <v>4.24</v>
      </c>
      <c r="BR55" s="1">
        <v>2.39</v>
      </c>
      <c r="BS55" s="1">
        <v>3.62</v>
      </c>
      <c r="BT55" s="1">
        <v>60</v>
      </c>
      <c r="BU55" s="1">
        <v>0</v>
      </c>
      <c r="BV55" s="1">
        <v>44.87</v>
      </c>
      <c r="BW55" s="1">
        <v>12</v>
      </c>
      <c r="BX55" s="1">
        <v>52.57</v>
      </c>
      <c r="BY55" s="1">
        <v>361.74</v>
      </c>
      <c r="BZ55" s="1">
        <v>44.6</v>
      </c>
      <c r="CA55" s="1">
        <v>6.3</v>
      </c>
      <c r="CB55" s="1">
        <v>56.25</v>
      </c>
      <c r="CC55" s="1">
        <v>12.26</v>
      </c>
      <c r="CD55" s="1">
        <v>61.74</v>
      </c>
      <c r="CE55" s="1">
        <v>0.64</v>
      </c>
      <c r="CF55" s="1">
        <v>55.27</v>
      </c>
      <c r="CG55" s="1">
        <v>0.01</v>
      </c>
      <c r="CH55" s="1">
        <v>43.51</v>
      </c>
      <c r="CI55" s="1">
        <v>0</v>
      </c>
      <c r="CJ55" s="1">
        <v>46.79</v>
      </c>
      <c r="CK55" s="1">
        <v>-0.02</v>
      </c>
      <c r="CL55" s="1">
        <v>40.270000000000003</v>
      </c>
      <c r="CM55" s="1">
        <v>-0.06</v>
      </c>
      <c r="CN55" s="1">
        <v>43.39</v>
      </c>
      <c r="CO55" s="1">
        <v>0.11</v>
      </c>
      <c r="CP55" s="1">
        <v>68.349999999999994</v>
      </c>
      <c r="CQ55" s="1">
        <v>0.12</v>
      </c>
      <c r="CR55" s="1">
        <v>58.7</v>
      </c>
      <c r="CS55" s="1">
        <v>55</v>
      </c>
      <c r="CT55" s="1">
        <v>60</v>
      </c>
      <c r="CU55" s="1">
        <v>54</v>
      </c>
      <c r="CV55" s="1">
        <v>55</v>
      </c>
      <c r="CW55" s="1">
        <v>43</v>
      </c>
      <c r="CX55" s="1">
        <v>66</v>
      </c>
      <c r="CY55" s="1">
        <v>59</v>
      </c>
      <c r="CZ55" s="1">
        <v>59</v>
      </c>
      <c r="DA55" s="1">
        <v>1</v>
      </c>
    </row>
    <row r="56" spans="1:105" x14ac:dyDescent="0.15">
      <c r="A56" s="1" t="s">
        <v>279</v>
      </c>
      <c r="B56" s="1" t="s">
        <v>452</v>
      </c>
      <c r="C56" s="1">
        <v>1</v>
      </c>
      <c r="D56" s="1">
        <v>14</v>
      </c>
      <c r="E56" s="1">
        <v>36</v>
      </c>
      <c r="F56" s="1">
        <v>104</v>
      </c>
      <c r="G56" s="1">
        <v>105</v>
      </c>
      <c r="H56" s="1">
        <v>-1</v>
      </c>
      <c r="I56" s="1">
        <v>64</v>
      </c>
      <c r="J56" s="1">
        <v>56</v>
      </c>
      <c r="K56" s="1">
        <v>40</v>
      </c>
      <c r="L56" s="1">
        <v>58</v>
      </c>
      <c r="M56" s="1">
        <v>114</v>
      </c>
      <c r="N56" s="1">
        <v>110</v>
      </c>
      <c r="O56" s="1">
        <v>43</v>
      </c>
      <c r="P56" s="1">
        <v>53</v>
      </c>
      <c r="Q56" s="1">
        <v>30</v>
      </c>
      <c r="R56" s="1">
        <v>65</v>
      </c>
      <c r="S56" s="1">
        <v>118</v>
      </c>
      <c r="T56" s="1">
        <v>115</v>
      </c>
      <c r="U56" s="1">
        <v>232</v>
      </c>
      <c r="V56" s="1">
        <v>114</v>
      </c>
      <c r="W56" s="1">
        <v>120</v>
      </c>
      <c r="X56" s="1">
        <v>22</v>
      </c>
      <c r="Y56" s="1">
        <v>2</v>
      </c>
      <c r="Z56" s="1">
        <v>20</v>
      </c>
      <c r="AA56" s="1">
        <v>6</v>
      </c>
      <c r="AB56" s="1">
        <v>120</v>
      </c>
      <c r="AC56" s="1">
        <v>45</v>
      </c>
      <c r="AD56" s="1">
        <v>6</v>
      </c>
      <c r="AE56" s="1">
        <v>12</v>
      </c>
      <c r="AF56" s="1">
        <v>79</v>
      </c>
      <c r="AG56" s="1">
        <v>27</v>
      </c>
      <c r="AH56" s="1">
        <v>50</v>
      </c>
      <c r="AI56" s="1">
        <v>50</v>
      </c>
      <c r="AJ56" s="1">
        <v>46</v>
      </c>
      <c r="AK56" s="1">
        <v>7</v>
      </c>
      <c r="AL56" s="1">
        <v>7</v>
      </c>
      <c r="AM56" s="1">
        <v>9</v>
      </c>
      <c r="AN56" s="1">
        <v>24</v>
      </c>
      <c r="AO56" s="1">
        <v>40</v>
      </c>
      <c r="AP56" s="1">
        <v>7</v>
      </c>
      <c r="AQ56" s="1">
        <v>35</v>
      </c>
      <c r="AR56" s="1">
        <v>10</v>
      </c>
      <c r="AS56" s="1">
        <v>41</v>
      </c>
      <c r="AT56" s="1">
        <v>15</v>
      </c>
      <c r="AU56" s="1">
        <v>45</v>
      </c>
      <c r="AV56" s="1">
        <v>12</v>
      </c>
      <c r="AW56" s="1">
        <v>38</v>
      </c>
      <c r="AX56" s="1">
        <v>23</v>
      </c>
      <c r="AY56" s="1">
        <v>57</v>
      </c>
      <c r="AZ56" s="1">
        <v>7</v>
      </c>
      <c r="BA56" s="1">
        <v>8</v>
      </c>
      <c r="BB56" s="1">
        <v>9</v>
      </c>
      <c r="BC56" s="1">
        <v>24</v>
      </c>
      <c r="BD56" s="1">
        <v>51</v>
      </c>
      <c r="BE56" s="1">
        <v>8</v>
      </c>
      <c r="BF56" s="1">
        <v>43</v>
      </c>
      <c r="BG56" s="1">
        <v>14</v>
      </c>
      <c r="BH56" s="1">
        <v>15</v>
      </c>
      <c r="BI56" s="1">
        <v>14</v>
      </c>
      <c r="BJ56" s="1">
        <v>43</v>
      </c>
      <c r="BK56" s="1">
        <v>46</v>
      </c>
      <c r="BL56" s="1">
        <v>22</v>
      </c>
      <c r="BM56" s="1">
        <v>48</v>
      </c>
      <c r="BN56" s="1">
        <v>92</v>
      </c>
      <c r="BO56" s="1">
        <v>45</v>
      </c>
      <c r="BP56" s="1">
        <v>2.78</v>
      </c>
      <c r="BQ56" s="1">
        <v>2.61</v>
      </c>
      <c r="BR56" s="1">
        <v>1.1599999999999999</v>
      </c>
      <c r="BS56" s="1">
        <v>2.1800000000000002</v>
      </c>
      <c r="BT56" s="1">
        <v>38</v>
      </c>
      <c r="BU56" s="1">
        <v>1</v>
      </c>
      <c r="BV56" s="1">
        <v>45.43</v>
      </c>
      <c r="BW56" s="1">
        <v>2</v>
      </c>
      <c r="BX56" s="1">
        <v>35.71</v>
      </c>
      <c r="BY56" s="1">
        <v>465.44</v>
      </c>
      <c r="BZ56" s="1">
        <v>64.91</v>
      </c>
      <c r="CA56" s="1">
        <v>5.61</v>
      </c>
      <c r="CB56" s="1">
        <v>53.75</v>
      </c>
      <c r="CC56" s="1">
        <v>3.98</v>
      </c>
      <c r="CD56" s="1">
        <v>39.82</v>
      </c>
      <c r="CE56" s="1">
        <v>1.56</v>
      </c>
      <c r="CF56" s="1">
        <v>33.28</v>
      </c>
      <c r="CG56" s="1">
        <v>1.62</v>
      </c>
      <c r="CH56" s="1">
        <v>55.83</v>
      </c>
      <c r="CI56" s="1">
        <v>0</v>
      </c>
      <c r="CJ56" s="1">
        <v>45.77</v>
      </c>
      <c r="CK56" s="1">
        <v>-0.02</v>
      </c>
      <c r="CL56" s="1">
        <v>39.799999999999997</v>
      </c>
      <c r="CM56" s="1">
        <v>-0.05</v>
      </c>
      <c r="CN56" s="1">
        <v>48.11</v>
      </c>
      <c r="CO56" s="1">
        <v>0.05</v>
      </c>
      <c r="CP56" s="1">
        <v>52.88</v>
      </c>
      <c r="CQ56" s="1">
        <v>0.01</v>
      </c>
      <c r="CR56" s="1">
        <v>51.79</v>
      </c>
      <c r="CS56" s="1">
        <v>47</v>
      </c>
      <c r="CT56" s="1">
        <v>38</v>
      </c>
      <c r="CU56" s="1">
        <v>39</v>
      </c>
      <c r="CV56" s="1">
        <v>42</v>
      </c>
      <c r="CW56" s="1">
        <v>51</v>
      </c>
      <c r="CX56" s="1">
        <v>57</v>
      </c>
      <c r="CY56" s="1">
        <v>45</v>
      </c>
      <c r="CZ56" s="1">
        <v>42</v>
      </c>
      <c r="DA56" s="1">
        <v>1</v>
      </c>
    </row>
    <row r="57" spans="1:105" x14ac:dyDescent="0.15">
      <c r="A57" s="1" t="s">
        <v>281</v>
      </c>
      <c r="B57" s="1" t="s">
        <v>453</v>
      </c>
      <c r="C57" s="1">
        <v>3</v>
      </c>
      <c r="D57" s="1">
        <v>12</v>
      </c>
      <c r="E57" s="1">
        <v>28</v>
      </c>
      <c r="F57" s="1">
        <v>92</v>
      </c>
      <c r="G57" s="1">
        <v>98</v>
      </c>
      <c r="H57" s="1">
        <v>-6</v>
      </c>
      <c r="I57" s="1">
        <v>54</v>
      </c>
      <c r="J57" s="1">
        <v>45</v>
      </c>
      <c r="K57" s="1">
        <v>36</v>
      </c>
      <c r="L57" s="1">
        <v>50</v>
      </c>
      <c r="M57" s="1">
        <v>95</v>
      </c>
      <c r="N57" s="1">
        <v>96</v>
      </c>
      <c r="O57" s="1">
        <v>48</v>
      </c>
      <c r="P57" s="1">
        <v>55</v>
      </c>
      <c r="Q57" s="1">
        <v>24</v>
      </c>
      <c r="R57" s="1">
        <v>50</v>
      </c>
      <c r="S57" s="1">
        <v>105</v>
      </c>
      <c r="T57" s="1">
        <v>103</v>
      </c>
      <c r="U57" s="1">
        <v>200</v>
      </c>
      <c r="V57" s="1">
        <v>100</v>
      </c>
      <c r="W57" s="1">
        <v>120</v>
      </c>
      <c r="X57" s="1">
        <v>35</v>
      </c>
      <c r="Y57" s="1">
        <v>1</v>
      </c>
      <c r="Z57" s="1">
        <v>34</v>
      </c>
      <c r="AA57" s="1">
        <v>11</v>
      </c>
      <c r="AB57" s="1">
        <v>120</v>
      </c>
      <c r="AC57" s="1">
        <v>56</v>
      </c>
      <c r="AD57" s="1">
        <v>7</v>
      </c>
      <c r="AE57" s="1">
        <v>18</v>
      </c>
      <c r="AF57" s="1">
        <v>94</v>
      </c>
      <c r="AG57" s="1">
        <v>19</v>
      </c>
      <c r="AH57" s="1">
        <v>60</v>
      </c>
      <c r="AI57" s="1">
        <v>52</v>
      </c>
      <c r="AJ57" s="1">
        <v>46</v>
      </c>
      <c r="AK57" s="1">
        <v>6</v>
      </c>
      <c r="AL57" s="1">
        <v>9</v>
      </c>
      <c r="AM57" s="1">
        <v>10</v>
      </c>
      <c r="AN57" s="1">
        <v>25</v>
      </c>
      <c r="AO57" s="1">
        <v>43</v>
      </c>
      <c r="AP57" s="1">
        <v>8</v>
      </c>
      <c r="AQ57" s="1">
        <v>40</v>
      </c>
      <c r="AR57" s="1">
        <v>12</v>
      </c>
      <c r="AS57" s="1">
        <v>59</v>
      </c>
      <c r="AT57" s="1">
        <v>19</v>
      </c>
      <c r="AU57" s="1">
        <v>56</v>
      </c>
      <c r="AV57" s="1">
        <v>14</v>
      </c>
      <c r="AW57" s="1">
        <v>43</v>
      </c>
      <c r="AX57" s="1">
        <v>22</v>
      </c>
      <c r="AY57" s="1">
        <v>52</v>
      </c>
      <c r="AZ57" s="1">
        <v>6</v>
      </c>
      <c r="BA57" s="1">
        <v>10</v>
      </c>
      <c r="BB57" s="1">
        <v>12</v>
      </c>
      <c r="BC57" s="1">
        <v>28</v>
      </c>
      <c r="BD57" s="1">
        <v>56</v>
      </c>
      <c r="BE57" s="1">
        <v>12</v>
      </c>
      <c r="BF57" s="1">
        <v>64</v>
      </c>
      <c r="BG57" s="1">
        <v>13</v>
      </c>
      <c r="BH57" s="1">
        <v>7</v>
      </c>
      <c r="BI57" s="1">
        <v>11</v>
      </c>
      <c r="BJ57" s="1">
        <v>31</v>
      </c>
      <c r="BK57" s="1">
        <v>39</v>
      </c>
      <c r="BL57" s="1">
        <v>23</v>
      </c>
      <c r="BM57" s="1">
        <v>49</v>
      </c>
      <c r="BN57" s="1">
        <v>95</v>
      </c>
      <c r="BO57" s="1">
        <v>48</v>
      </c>
      <c r="BP57" s="1">
        <v>3.96</v>
      </c>
      <c r="BQ57" s="1">
        <v>3</v>
      </c>
      <c r="BR57" s="1">
        <v>1.9500000000000002</v>
      </c>
      <c r="BS57" s="1">
        <v>2.97</v>
      </c>
      <c r="BT57" s="1">
        <v>49</v>
      </c>
      <c r="BU57" s="1">
        <v>0</v>
      </c>
      <c r="BV57" s="1">
        <v>42.1</v>
      </c>
      <c r="BW57" s="1">
        <v>7</v>
      </c>
      <c r="BX57" s="1">
        <v>41.76</v>
      </c>
      <c r="BY57" s="1">
        <v>393.05</v>
      </c>
      <c r="BZ57" s="1">
        <v>51.55</v>
      </c>
      <c r="CA57" s="1">
        <v>4.22</v>
      </c>
      <c r="CB57" s="1">
        <v>42.6</v>
      </c>
      <c r="CC57" s="1">
        <v>3.37</v>
      </c>
      <c r="CD57" s="1">
        <v>35.590000000000003</v>
      </c>
      <c r="CE57" s="1">
        <v>0.8</v>
      </c>
      <c r="CF57" s="1">
        <v>47.98</v>
      </c>
      <c r="CG57" s="1">
        <v>0.49</v>
      </c>
      <c r="CH57" s="1">
        <v>47.79</v>
      </c>
      <c r="CI57" s="1">
        <v>0</v>
      </c>
      <c r="CJ57" s="1">
        <v>45.77</v>
      </c>
      <c r="CK57" s="1">
        <v>-0.03</v>
      </c>
      <c r="CL57" s="1">
        <v>37.630000000000003</v>
      </c>
      <c r="CM57" s="1">
        <v>0.01</v>
      </c>
      <c r="CN57" s="1">
        <v>59.65</v>
      </c>
      <c r="CO57" s="1">
        <v>0.06</v>
      </c>
      <c r="CP57" s="1">
        <v>54.29</v>
      </c>
      <c r="CQ57" s="1">
        <v>0.05</v>
      </c>
      <c r="CR57" s="1">
        <v>55.9</v>
      </c>
      <c r="CS57" s="1">
        <v>52</v>
      </c>
      <c r="CT57" s="1">
        <v>49</v>
      </c>
      <c r="CU57" s="1">
        <v>50</v>
      </c>
      <c r="CV57" s="1">
        <v>43</v>
      </c>
      <c r="CW57" s="1">
        <v>56</v>
      </c>
      <c r="CX57" s="1">
        <v>52</v>
      </c>
      <c r="CY57" s="1">
        <v>48</v>
      </c>
      <c r="CZ57" s="1">
        <v>50</v>
      </c>
      <c r="DA57" s="1">
        <v>1</v>
      </c>
    </row>
    <row r="58" spans="1:105" x14ac:dyDescent="0.15">
      <c r="A58" s="1" t="s">
        <v>285</v>
      </c>
      <c r="B58" s="1" t="s">
        <v>454</v>
      </c>
      <c r="C58" s="1">
        <v>3</v>
      </c>
      <c r="D58" s="1">
        <v>10</v>
      </c>
      <c r="E58" s="1">
        <v>8</v>
      </c>
      <c r="F58" s="1">
        <v>61</v>
      </c>
      <c r="G58" s="1">
        <v>94</v>
      </c>
      <c r="H58" s="1">
        <v>-33</v>
      </c>
      <c r="I58" s="1">
        <v>46</v>
      </c>
      <c r="J58" s="1">
        <v>38</v>
      </c>
      <c r="K58" s="1">
        <v>33</v>
      </c>
      <c r="L58" s="1">
        <v>46</v>
      </c>
      <c r="M58" s="1">
        <v>84</v>
      </c>
      <c r="N58" s="1">
        <v>88</v>
      </c>
      <c r="O58" s="1">
        <v>36</v>
      </c>
      <c r="P58" s="1">
        <v>46</v>
      </c>
      <c r="Q58" s="1">
        <v>15</v>
      </c>
      <c r="R58" s="1">
        <v>30</v>
      </c>
      <c r="S58" s="1">
        <v>76</v>
      </c>
      <c r="T58" s="1">
        <v>82</v>
      </c>
      <c r="U58" s="1">
        <v>160</v>
      </c>
      <c r="V58" s="1">
        <v>83</v>
      </c>
      <c r="W58" s="1">
        <v>120</v>
      </c>
      <c r="X58" s="1">
        <v>25</v>
      </c>
      <c r="Y58" s="1">
        <v>2</v>
      </c>
      <c r="Z58" s="1">
        <v>23</v>
      </c>
      <c r="AA58" s="1">
        <v>6</v>
      </c>
      <c r="AB58" s="1">
        <v>120</v>
      </c>
      <c r="AC58" s="1">
        <v>70</v>
      </c>
      <c r="AD58" s="1">
        <v>9</v>
      </c>
      <c r="AE58" s="1">
        <v>15</v>
      </c>
      <c r="AF58" s="1">
        <v>86</v>
      </c>
      <c r="AG58" s="1">
        <v>38</v>
      </c>
      <c r="AH58" s="1">
        <v>33</v>
      </c>
      <c r="AI58" s="1">
        <v>42</v>
      </c>
      <c r="AJ58" s="1">
        <v>29</v>
      </c>
      <c r="AK58" s="1">
        <v>5</v>
      </c>
      <c r="AL58" s="1">
        <v>8</v>
      </c>
      <c r="AM58" s="1">
        <v>10</v>
      </c>
      <c r="AN58" s="1">
        <v>23</v>
      </c>
      <c r="AO58" s="1">
        <v>39</v>
      </c>
      <c r="AP58" s="1">
        <v>5</v>
      </c>
      <c r="AQ58" s="1">
        <v>20</v>
      </c>
      <c r="AR58" s="1">
        <v>11</v>
      </c>
      <c r="AS58" s="1">
        <v>51</v>
      </c>
      <c r="AT58" s="1">
        <v>14</v>
      </c>
      <c r="AU58" s="1">
        <v>36</v>
      </c>
      <c r="AV58" s="1">
        <v>6</v>
      </c>
      <c r="AW58" s="1">
        <v>18</v>
      </c>
      <c r="AX58" s="1">
        <v>22</v>
      </c>
      <c r="AY58" s="1">
        <v>46</v>
      </c>
      <c r="AZ58" s="1">
        <v>6</v>
      </c>
      <c r="BA58" s="1">
        <v>11</v>
      </c>
      <c r="BB58" s="1">
        <v>10</v>
      </c>
      <c r="BC58" s="1">
        <v>27</v>
      </c>
      <c r="BD58" s="1">
        <v>47</v>
      </c>
      <c r="BE58" s="1">
        <v>10</v>
      </c>
      <c r="BF58" s="1">
        <v>47</v>
      </c>
      <c r="BG58" s="1">
        <v>5</v>
      </c>
      <c r="BH58" s="1">
        <v>4</v>
      </c>
      <c r="BI58" s="1">
        <v>7</v>
      </c>
      <c r="BJ58" s="1">
        <v>16</v>
      </c>
      <c r="BK58" s="1">
        <v>28</v>
      </c>
      <c r="BL58" s="1">
        <v>17</v>
      </c>
      <c r="BM58" s="1">
        <v>37</v>
      </c>
      <c r="BN58" s="1">
        <v>78</v>
      </c>
      <c r="BO58" s="1">
        <v>30</v>
      </c>
      <c r="BP58" s="1">
        <v>2.27</v>
      </c>
      <c r="BQ58" s="1">
        <v>1.58</v>
      </c>
      <c r="BR58" s="1">
        <v>1.1100000000000001</v>
      </c>
      <c r="BS58" s="1">
        <v>1.65</v>
      </c>
      <c r="BT58" s="1">
        <v>27</v>
      </c>
      <c r="BU58" s="1">
        <v>73</v>
      </c>
      <c r="BV58" s="1">
        <v>260.77999999999997</v>
      </c>
      <c r="BW58" s="1">
        <v>13</v>
      </c>
      <c r="BX58" s="1">
        <v>48.31</v>
      </c>
      <c r="BY58" s="1">
        <v>710.28</v>
      </c>
      <c r="BZ58" s="1">
        <v>88.2</v>
      </c>
      <c r="CA58" s="1">
        <v>30.36</v>
      </c>
      <c r="CB58" s="1">
        <v>102.27</v>
      </c>
      <c r="CC58" s="1">
        <v>62.14</v>
      </c>
      <c r="CD58" s="1">
        <v>89.9</v>
      </c>
      <c r="CE58" s="1">
        <v>0.92</v>
      </c>
      <c r="CF58" s="1">
        <v>44.14</v>
      </c>
      <c r="CG58" s="1">
        <v>1.25</v>
      </c>
      <c r="CH58" s="1">
        <v>55.47</v>
      </c>
      <c r="CI58" s="1">
        <v>3</v>
      </c>
      <c r="CJ58" s="1">
        <v>63.66</v>
      </c>
      <c r="CK58" s="1">
        <v>0</v>
      </c>
      <c r="CL58" s="1">
        <v>50.53</v>
      </c>
      <c r="CM58" s="1">
        <v>-0.01</v>
      </c>
      <c r="CN58" s="1">
        <v>48.35</v>
      </c>
      <c r="CO58" s="1">
        <v>0.17</v>
      </c>
      <c r="CP58" s="1">
        <v>83.87</v>
      </c>
      <c r="CQ58" s="1">
        <v>0.35</v>
      </c>
      <c r="CR58" s="1">
        <v>79.81</v>
      </c>
      <c r="CS58" s="1">
        <v>28</v>
      </c>
      <c r="CT58" s="1">
        <v>27</v>
      </c>
      <c r="CU58" s="1">
        <v>22</v>
      </c>
      <c r="CV58" s="1">
        <v>39</v>
      </c>
      <c r="CW58" s="1">
        <v>47</v>
      </c>
      <c r="CX58" s="1">
        <v>46</v>
      </c>
      <c r="CY58" s="1">
        <v>30</v>
      </c>
      <c r="CZ58" s="1">
        <v>24</v>
      </c>
      <c r="DA58" s="1">
        <v>1</v>
      </c>
    </row>
    <row r="59" spans="1:105" x14ac:dyDescent="0.15">
      <c r="A59" s="1" t="s">
        <v>283</v>
      </c>
      <c r="B59" s="1" t="s">
        <v>455</v>
      </c>
      <c r="C59" s="1">
        <v>3</v>
      </c>
      <c r="E59" s="1">
        <v>30</v>
      </c>
      <c r="F59" s="1">
        <v>95</v>
      </c>
      <c r="G59" s="1">
        <v>98</v>
      </c>
      <c r="I59" s="1">
        <v>55</v>
      </c>
      <c r="J59" s="1">
        <v>46</v>
      </c>
      <c r="K59" s="1">
        <v>41</v>
      </c>
      <c r="L59" s="1">
        <v>59</v>
      </c>
      <c r="M59" s="1">
        <v>105</v>
      </c>
      <c r="N59" s="1">
        <v>104</v>
      </c>
      <c r="O59" s="1">
        <v>34</v>
      </c>
      <c r="P59" s="1">
        <v>49</v>
      </c>
      <c r="Q59" s="1">
        <v>26</v>
      </c>
      <c r="R59" s="1">
        <v>58</v>
      </c>
      <c r="S59" s="1">
        <v>107</v>
      </c>
      <c r="T59" s="1">
        <v>105</v>
      </c>
      <c r="U59" s="1">
        <v>209</v>
      </c>
      <c r="W59" s="1">
        <v>120</v>
      </c>
      <c r="X59" s="1">
        <v>32</v>
      </c>
      <c r="Y59" s="1">
        <v>1</v>
      </c>
      <c r="Z59" s="1">
        <v>31</v>
      </c>
      <c r="AA59" s="1">
        <v>10</v>
      </c>
      <c r="AB59" s="1">
        <v>120</v>
      </c>
      <c r="AC59" s="1">
        <v>55</v>
      </c>
      <c r="AD59" s="1">
        <v>8</v>
      </c>
      <c r="AE59" s="1">
        <v>18</v>
      </c>
      <c r="AG59" s="1">
        <v>27</v>
      </c>
      <c r="AH59" s="1">
        <v>53</v>
      </c>
      <c r="AI59" s="1">
        <v>44</v>
      </c>
      <c r="AJ59" s="1">
        <v>40</v>
      </c>
      <c r="AK59" s="1">
        <v>8</v>
      </c>
      <c r="AL59" s="1">
        <v>9</v>
      </c>
      <c r="AM59" s="1">
        <v>10</v>
      </c>
      <c r="AN59" s="1">
        <v>27</v>
      </c>
      <c r="AO59" s="1">
        <v>46</v>
      </c>
      <c r="AP59" s="1">
        <v>7</v>
      </c>
      <c r="AQ59" s="1">
        <v>33</v>
      </c>
      <c r="AR59" s="1">
        <v>9</v>
      </c>
      <c r="AS59" s="1">
        <v>37</v>
      </c>
      <c r="AT59" s="1">
        <v>17</v>
      </c>
      <c r="AU59" s="1">
        <v>57</v>
      </c>
      <c r="AV59" s="1">
        <v>14</v>
      </c>
      <c r="AW59" s="1">
        <v>47</v>
      </c>
      <c r="AX59" s="1">
        <v>15</v>
      </c>
      <c r="AY59" s="1">
        <v>47</v>
      </c>
      <c r="AZ59" s="1">
        <v>2</v>
      </c>
      <c r="BA59" s="1">
        <v>4</v>
      </c>
      <c r="BB59" s="1">
        <v>4</v>
      </c>
      <c r="BC59" s="1">
        <v>10</v>
      </c>
      <c r="BD59" s="1">
        <v>29</v>
      </c>
      <c r="BE59" s="1">
        <v>4</v>
      </c>
      <c r="BF59" s="1">
        <v>26</v>
      </c>
      <c r="BG59" s="1">
        <v>15</v>
      </c>
      <c r="BH59" s="1">
        <v>5</v>
      </c>
      <c r="BI59" s="1">
        <v>11</v>
      </c>
      <c r="BJ59" s="1">
        <v>31</v>
      </c>
      <c r="BK59" s="1">
        <v>41</v>
      </c>
      <c r="BL59" s="1">
        <v>19</v>
      </c>
      <c r="BM59" s="1">
        <v>43</v>
      </c>
      <c r="BN59" s="1">
        <v>103</v>
      </c>
      <c r="BO59" s="1">
        <v>55</v>
      </c>
      <c r="BP59" s="1">
        <v>4.24</v>
      </c>
      <c r="BQ59" s="1">
        <v>2.78</v>
      </c>
      <c r="BR59" s="1">
        <v>1.59</v>
      </c>
      <c r="BS59" s="1">
        <v>2.87</v>
      </c>
      <c r="BU59" s="1">
        <v>0</v>
      </c>
      <c r="BV59" s="1">
        <v>42.82</v>
      </c>
      <c r="BW59" s="1">
        <v>10</v>
      </c>
      <c r="BX59" s="1">
        <v>50.68</v>
      </c>
      <c r="BY59" s="1">
        <v>384.59</v>
      </c>
      <c r="BZ59" s="1">
        <v>45.4</v>
      </c>
      <c r="CA59" s="1">
        <v>3.72</v>
      </c>
      <c r="CB59" s="1">
        <v>38.85</v>
      </c>
      <c r="CC59" s="1">
        <v>2.68</v>
      </c>
      <c r="CD59" s="1">
        <v>33.64</v>
      </c>
      <c r="CE59" s="1">
        <v>0.64</v>
      </c>
      <c r="CF59" s="1">
        <v>57.09</v>
      </c>
      <c r="CG59" s="1">
        <v>0.42</v>
      </c>
      <c r="CH59" s="1">
        <v>46.53</v>
      </c>
      <c r="CI59" s="1">
        <v>0</v>
      </c>
      <c r="CJ59" s="1">
        <v>45.91</v>
      </c>
      <c r="CK59" s="1">
        <v>-0.03</v>
      </c>
      <c r="CL59" s="1">
        <v>38.21</v>
      </c>
      <c r="CM59" s="1">
        <v>0</v>
      </c>
      <c r="CN59" s="1">
        <v>55.03</v>
      </c>
      <c r="CO59" s="1">
        <v>0.04</v>
      </c>
      <c r="CP59" s="1">
        <v>47.2</v>
      </c>
      <c r="CQ59" s="1">
        <v>0.01</v>
      </c>
      <c r="CS59" s="1">
        <v>43</v>
      </c>
      <c r="CT59" s="1">
        <v>51</v>
      </c>
      <c r="CU59" s="1">
        <v>52</v>
      </c>
      <c r="CV59" s="1">
        <v>46</v>
      </c>
      <c r="CW59" s="1">
        <v>29</v>
      </c>
      <c r="CX59" s="1">
        <v>47</v>
      </c>
      <c r="CY59" s="1">
        <v>55</v>
      </c>
      <c r="DA59" s="1">
        <v>1</v>
      </c>
    </row>
    <row r="60" spans="1:105" x14ac:dyDescent="0.15">
      <c r="A60" s="1" t="s">
        <v>287</v>
      </c>
      <c r="B60" s="1" t="s">
        <v>144</v>
      </c>
      <c r="C60" s="1">
        <v>2</v>
      </c>
      <c r="D60" s="1">
        <v>16</v>
      </c>
      <c r="E60" s="1">
        <v>42</v>
      </c>
      <c r="F60" s="1">
        <v>113</v>
      </c>
      <c r="G60" s="1">
        <v>94</v>
      </c>
      <c r="H60" s="1">
        <v>19</v>
      </c>
      <c r="I60" s="1">
        <v>62</v>
      </c>
      <c r="J60" s="1">
        <v>53</v>
      </c>
      <c r="K60" s="1">
        <v>43</v>
      </c>
      <c r="L60" s="1">
        <v>62</v>
      </c>
      <c r="M60" s="1">
        <v>115</v>
      </c>
      <c r="N60" s="1">
        <v>111</v>
      </c>
      <c r="O60" s="1">
        <v>47</v>
      </c>
      <c r="P60" s="1">
        <v>55</v>
      </c>
      <c r="Q60" s="1">
        <v>30</v>
      </c>
      <c r="R60" s="1">
        <v>62</v>
      </c>
      <c r="S60" s="1">
        <v>117</v>
      </c>
      <c r="T60" s="1">
        <v>114</v>
      </c>
      <c r="U60" s="1">
        <v>232</v>
      </c>
      <c r="V60" s="1">
        <v>114</v>
      </c>
      <c r="W60" s="1">
        <v>120</v>
      </c>
      <c r="X60" s="1">
        <v>38</v>
      </c>
      <c r="Y60" s="1">
        <v>2</v>
      </c>
      <c r="Z60" s="1">
        <v>36</v>
      </c>
      <c r="AA60" s="1">
        <v>11</v>
      </c>
      <c r="AB60" s="1">
        <v>120</v>
      </c>
      <c r="AC60" s="1">
        <v>73</v>
      </c>
      <c r="AD60" s="1">
        <v>11</v>
      </c>
      <c r="AE60" s="1">
        <v>22</v>
      </c>
      <c r="AF60" s="1">
        <v>105</v>
      </c>
      <c r="AG60" s="1">
        <v>23</v>
      </c>
      <c r="AH60" s="1">
        <v>52</v>
      </c>
      <c r="AI60" s="1">
        <v>67</v>
      </c>
      <c r="AJ60" s="1">
        <v>59</v>
      </c>
      <c r="AK60" s="1">
        <v>6</v>
      </c>
      <c r="AL60" s="1">
        <v>8</v>
      </c>
      <c r="AM60" s="1">
        <v>10</v>
      </c>
      <c r="AN60" s="1">
        <v>24</v>
      </c>
      <c r="AO60" s="1">
        <v>41</v>
      </c>
      <c r="AP60" s="1">
        <v>10</v>
      </c>
      <c r="AQ60" s="1">
        <v>50</v>
      </c>
      <c r="AR60" s="1">
        <v>11</v>
      </c>
      <c r="AS60" s="1">
        <v>50</v>
      </c>
      <c r="AT60" s="1">
        <v>17</v>
      </c>
      <c r="AU60" s="1">
        <v>48</v>
      </c>
      <c r="AV60" s="1">
        <v>16</v>
      </c>
      <c r="AW60" s="1">
        <v>48</v>
      </c>
      <c r="AX60" s="1">
        <v>26</v>
      </c>
      <c r="AY60" s="1">
        <v>63</v>
      </c>
      <c r="AZ60" s="1">
        <v>4</v>
      </c>
      <c r="BA60" s="1">
        <v>7</v>
      </c>
      <c r="BB60" s="1">
        <v>10</v>
      </c>
      <c r="BC60" s="1">
        <v>21</v>
      </c>
      <c r="BD60" s="1">
        <v>40</v>
      </c>
      <c r="BE60" s="1">
        <v>10</v>
      </c>
      <c r="BF60" s="1">
        <v>51</v>
      </c>
      <c r="BG60" s="1">
        <v>18</v>
      </c>
      <c r="BH60" s="1">
        <v>9</v>
      </c>
      <c r="BI60" s="1">
        <v>17</v>
      </c>
      <c r="BJ60" s="1">
        <v>44</v>
      </c>
      <c r="BK60" s="1">
        <v>40</v>
      </c>
      <c r="BL60" s="1">
        <v>21</v>
      </c>
      <c r="BM60" s="1">
        <v>45</v>
      </c>
      <c r="BN60" s="1">
        <v>105</v>
      </c>
      <c r="BO60" s="1">
        <v>60</v>
      </c>
      <c r="BP60" s="1">
        <v>3.96</v>
      </c>
      <c r="BQ60" s="1">
        <v>3.34</v>
      </c>
      <c r="BR60" s="1">
        <v>2.12</v>
      </c>
      <c r="BS60" s="1">
        <v>3.14</v>
      </c>
      <c r="BT60" s="1">
        <v>51</v>
      </c>
      <c r="BU60" s="1">
        <v>0</v>
      </c>
      <c r="BV60" s="1">
        <v>42.1</v>
      </c>
      <c r="BW60" s="1">
        <v>9</v>
      </c>
      <c r="BX60" s="1">
        <v>43.86</v>
      </c>
      <c r="BY60" s="1">
        <v>374.77</v>
      </c>
      <c r="BZ60" s="1">
        <v>47.78</v>
      </c>
      <c r="CA60" s="1">
        <v>4.1500000000000004</v>
      </c>
      <c r="CB60" s="1">
        <v>42.03</v>
      </c>
      <c r="CC60" s="1">
        <v>3.79</v>
      </c>
      <c r="CD60" s="1">
        <v>38.6</v>
      </c>
      <c r="CE60" s="1">
        <v>0.73</v>
      </c>
      <c r="CF60" s="1">
        <v>49.43</v>
      </c>
      <c r="CG60" s="1">
        <v>0.44</v>
      </c>
      <c r="CH60" s="1">
        <v>47.45</v>
      </c>
      <c r="CI60" s="1">
        <v>0</v>
      </c>
      <c r="CJ60" s="1">
        <v>45.77</v>
      </c>
      <c r="CK60" s="1">
        <v>0</v>
      </c>
      <c r="CL60" s="1">
        <v>50.77</v>
      </c>
      <c r="CM60" s="1">
        <v>0.01</v>
      </c>
      <c r="CN60" s="1">
        <v>58.77</v>
      </c>
      <c r="CO60" s="1">
        <v>0.04</v>
      </c>
      <c r="CP60" s="1">
        <v>48.13</v>
      </c>
      <c r="CQ60" s="1">
        <v>-0.06</v>
      </c>
      <c r="CR60" s="1">
        <v>44.59</v>
      </c>
      <c r="CS60" s="1">
        <v>53</v>
      </c>
      <c r="CT60" s="1">
        <v>51</v>
      </c>
      <c r="CU60" s="1">
        <v>48</v>
      </c>
      <c r="CV60" s="1">
        <v>41</v>
      </c>
      <c r="CW60" s="1">
        <v>40</v>
      </c>
      <c r="CX60" s="1">
        <v>63</v>
      </c>
      <c r="CY60" s="1">
        <v>60</v>
      </c>
      <c r="CZ60" s="1">
        <v>51</v>
      </c>
      <c r="DA60" s="1">
        <v>1</v>
      </c>
    </row>
    <row r="61" spans="1:105" x14ac:dyDescent="0.15">
      <c r="A61" s="1" t="s">
        <v>293</v>
      </c>
      <c r="B61" s="1" t="s">
        <v>456</v>
      </c>
      <c r="C61" s="1">
        <v>1</v>
      </c>
      <c r="D61" s="1">
        <v>14</v>
      </c>
      <c r="E61" s="1">
        <v>35</v>
      </c>
      <c r="F61" s="1">
        <v>102</v>
      </c>
      <c r="G61" s="1">
        <v>105</v>
      </c>
      <c r="H61" s="1">
        <v>-3</v>
      </c>
      <c r="I61" s="1">
        <v>63</v>
      </c>
      <c r="J61" s="1">
        <v>54</v>
      </c>
      <c r="K61" s="1">
        <v>40</v>
      </c>
      <c r="L61" s="1">
        <v>57</v>
      </c>
      <c r="M61" s="1">
        <v>111</v>
      </c>
      <c r="N61" s="1">
        <v>108</v>
      </c>
      <c r="O61" s="1">
        <v>38</v>
      </c>
      <c r="P61" s="1">
        <v>50</v>
      </c>
      <c r="Q61" s="1">
        <v>25</v>
      </c>
      <c r="R61" s="1">
        <v>52</v>
      </c>
      <c r="S61" s="1">
        <v>102</v>
      </c>
      <c r="T61" s="1">
        <v>101</v>
      </c>
      <c r="U61" s="1">
        <v>213</v>
      </c>
      <c r="V61" s="1">
        <v>106</v>
      </c>
      <c r="W61" s="1">
        <v>120</v>
      </c>
      <c r="X61" s="1">
        <v>42</v>
      </c>
      <c r="Y61" s="1">
        <v>0</v>
      </c>
      <c r="Z61" s="1">
        <v>42</v>
      </c>
      <c r="AA61" s="1">
        <v>14</v>
      </c>
      <c r="AB61" s="1">
        <v>120</v>
      </c>
      <c r="AC61" s="1">
        <v>90</v>
      </c>
      <c r="AD61" s="1">
        <v>14</v>
      </c>
      <c r="AE61" s="1">
        <v>28</v>
      </c>
      <c r="AF61" s="1">
        <v>122</v>
      </c>
      <c r="AG61" s="1">
        <v>17</v>
      </c>
      <c r="AH61" s="1">
        <v>63</v>
      </c>
      <c r="AI61" s="1">
        <v>63</v>
      </c>
      <c r="AJ61" s="1">
        <v>56</v>
      </c>
      <c r="AK61" s="1">
        <v>8</v>
      </c>
      <c r="AL61" s="1">
        <v>12</v>
      </c>
      <c r="AM61" s="1">
        <v>10</v>
      </c>
      <c r="AN61" s="1">
        <v>30</v>
      </c>
      <c r="AO61" s="1">
        <v>54</v>
      </c>
      <c r="AP61" s="1">
        <v>10</v>
      </c>
      <c r="AQ61" s="1">
        <v>49</v>
      </c>
      <c r="AR61" s="1">
        <v>10</v>
      </c>
      <c r="AS61" s="1">
        <v>39</v>
      </c>
      <c r="AT61" s="1">
        <v>17</v>
      </c>
      <c r="AU61" s="1">
        <v>49</v>
      </c>
      <c r="AV61" s="1">
        <v>18</v>
      </c>
      <c r="AW61" s="1">
        <v>54</v>
      </c>
      <c r="AX61" s="1">
        <v>26</v>
      </c>
      <c r="AY61" s="1">
        <v>64</v>
      </c>
      <c r="AZ61" s="1">
        <v>7</v>
      </c>
      <c r="BA61" s="1">
        <v>11</v>
      </c>
      <c r="BB61" s="1">
        <v>11</v>
      </c>
      <c r="BC61" s="1">
        <v>29</v>
      </c>
      <c r="BD61" s="1">
        <v>56</v>
      </c>
      <c r="BE61" s="1">
        <v>10</v>
      </c>
      <c r="BF61" s="1">
        <v>51</v>
      </c>
      <c r="BG61" s="1">
        <v>19</v>
      </c>
      <c r="BH61" s="1">
        <v>20</v>
      </c>
      <c r="BI61" s="1">
        <v>14</v>
      </c>
      <c r="BJ61" s="1">
        <v>53</v>
      </c>
      <c r="BK61" s="1">
        <v>48</v>
      </c>
      <c r="BL61" s="1">
        <v>30</v>
      </c>
      <c r="BM61" s="1">
        <v>62</v>
      </c>
      <c r="BN61" s="1">
        <v>99</v>
      </c>
      <c r="BO61" s="1">
        <v>53</v>
      </c>
      <c r="BP61" s="1">
        <v>3.96</v>
      </c>
      <c r="BQ61" s="1">
        <v>4.24</v>
      </c>
      <c r="BR61" s="1">
        <v>2.39</v>
      </c>
      <c r="BS61" s="1">
        <v>3.59</v>
      </c>
      <c r="BT61" s="1">
        <v>57</v>
      </c>
      <c r="BU61" s="1">
        <v>1</v>
      </c>
      <c r="BV61" s="1">
        <v>45.43</v>
      </c>
      <c r="BW61" s="1">
        <v>8</v>
      </c>
      <c r="BX61" s="1">
        <v>42.69</v>
      </c>
      <c r="BY61" s="1">
        <v>395.15</v>
      </c>
      <c r="BZ61" s="1">
        <v>51.97</v>
      </c>
      <c r="CA61" s="1">
        <v>5.75</v>
      </c>
      <c r="CB61" s="1">
        <v>54.69</v>
      </c>
      <c r="CC61" s="1">
        <v>5.72</v>
      </c>
      <c r="CD61" s="1">
        <v>49.02</v>
      </c>
      <c r="CE61" s="1">
        <v>1.22</v>
      </c>
      <c r="CF61" s="1">
        <v>39.880000000000003</v>
      </c>
      <c r="CG61" s="1">
        <v>0.01</v>
      </c>
      <c r="CH61" s="1">
        <v>44.39</v>
      </c>
      <c r="CI61" s="1">
        <v>0</v>
      </c>
      <c r="CJ61" s="1">
        <v>45.77</v>
      </c>
      <c r="CK61" s="1">
        <v>-0.03</v>
      </c>
      <c r="CL61" s="1">
        <v>36.64</v>
      </c>
      <c r="CM61" s="1">
        <v>-0.04</v>
      </c>
      <c r="CN61" s="1">
        <v>49.05</v>
      </c>
      <c r="CO61" s="1">
        <v>0.06</v>
      </c>
      <c r="CP61" s="1">
        <v>54.35</v>
      </c>
      <c r="CQ61" s="1">
        <v>-0.09</v>
      </c>
      <c r="CR61" s="1">
        <v>40.369999999999997</v>
      </c>
      <c r="CS61" s="1">
        <v>63</v>
      </c>
      <c r="CT61" s="1">
        <v>57</v>
      </c>
      <c r="CU61" s="1">
        <v>52</v>
      </c>
      <c r="CV61" s="1">
        <v>54</v>
      </c>
      <c r="CW61" s="1">
        <v>56</v>
      </c>
      <c r="CX61" s="1">
        <v>65</v>
      </c>
      <c r="CY61" s="1">
        <v>53</v>
      </c>
      <c r="CZ61" s="1">
        <v>61</v>
      </c>
      <c r="DA61" s="1">
        <v>1</v>
      </c>
    </row>
    <row r="62" spans="1:105" x14ac:dyDescent="0.15">
      <c r="A62" s="1" t="s">
        <v>291</v>
      </c>
      <c r="B62" s="1" t="s">
        <v>457</v>
      </c>
      <c r="C62" s="1">
        <v>1</v>
      </c>
      <c r="D62" s="1">
        <v>16</v>
      </c>
      <c r="E62" s="1">
        <v>43</v>
      </c>
      <c r="F62" s="1">
        <v>114</v>
      </c>
      <c r="G62" s="1">
        <v>111</v>
      </c>
      <c r="H62" s="1">
        <v>3</v>
      </c>
      <c r="I62" s="1">
        <v>42</v>
      </c>
      <c r="J62" s="1">
        <v>33</v>
      </c>
      <c r="K62" s="1">
        <v>40</v>
      </c>
      <c r="L62" s="1">
        <v>45</v>
      </c>
      <c r="M62" s="1">
        <v>111</v>
      </c>
      <c r="N62" s="1">
        <v>84</v>
      </c>
      <c r="O62" s="1">
        <v>50</v>
      </c>
      <c r="P62" s="1">
        <v>38</v>
      </c>
      <c r="Q62" s="1">
        <v>24</v>
      </c>
      <c r="R62" s="1">
        <v>54</v>
      </c>
      <c r="S62" s="1">
        <v>112</v>
      </c>
      <c r="T62" s="1">
        <v>101</v>
      </c>
      <c r="U62" s="1">
        <v>190</v>
      </c>
      <c r="V62" s="1">
        <v>96</v>
      </c>
      <c r="W62" s="1">
        <v>120</v>
      </c>
      <c r="X62" s="1">
        <v>30</v>
      </c>
      <c r="Y62" s="1">
        <v>1</v>
      </c>
      <c r="Z62" s="1">
        <v>29</v>
      </c>
      <c r="AA62" s="1">
        <v>9</v>
      </c>
      <c r="AB62" s="1">
        <v>120</v>
      </c>
      <c r="AC62" s="1">
        <v>62</v>
      </c>
      <c r="AD62" s="1">
        <v>9</v>
      </c>
      <c r="AE62" s="1">
        <v>18</v>
      </c>
      <c r="AF62" s="1">
        <v>94</v>
      </c>
      <c r="AG62" s="1">
        <v>20</v>
      </c>
      <c r="AH62" s="1">
        <v>63</v>
      </c>
      <c r="AI62" s="1">
        <v>49</v>
      </c>
      <c r="AJ62" s="1">
        <v>56</v>
      </c>
      <c r="AK62" s="1">
        <v>6</v>
      </c>
      <c r="AL62" s="1">
        <v>9</v>
      </c>
      <c r="AM62" s="1">
        <v>10</v>
      </c>
      <c r="AN62" s="1">
        <v>25</v>
      </c>
      <c r="AO62" s="1">
        <v>44</v>
      </c>
      <c r="AP62" s="1">
        <v>9</v>
      </c>
      <c r="AQ62" s="1">
        <v>44</v>
      </c>
      <c r="AR62" s="1">
        <v>12</v>
      </c>
      <c r="AS62" s="1">
        <v>58</v>
      </c>
      <c r="AT62" s="1">
        <v>15</v>
      </c>
      <c r="AU62" s="1">
        <v>46</v>
      </c>
      <c r="AV62" s="1">
        <v>12</v>
      </c>
      <c r="AW62" s="1">
        <v>39</v>
      </c>
      <c r="AX62" s="1">
        <v>11</v>
      </c>
      <c r="AY62" s="1">
        <v>40</v>
      </c>
      <c r="AZ62" s="1">
        <v>4</v>
      </c>
      <c r="BA62" s="1">
        <v>8</v>
      </c>
      <c r="BB62" s="1">
        <v>9</v>
      </c>
      <c r="BC62" s="1">
        <v>21</v>
      </c>
      <c r="BD62" s="1">
        <v>49</v>
      </c>
      <c r="BE62" s="1">
        <v>10</v>
      </c>
      <c r="BF62" s="1">
        <v>56</v>
      </c>
      <c r="BG62" s="1">
        <v>7</v>
      </c>
      <c r="BH62" s="1">
        <v>5</v>
      </c>
      <c r="BI62" s="1">
        <v>11</v>
      </c>
      <c r="BJ62" s="1">
        <v>23</v>
      </c>
      <c r="BK62" s="1">
        <v>26</v>
      </c>
      <c r="BL62" s="1">
        <v>24</v>
      </c>
      <c r="BM62" s="1">
        <v>52</v>
      </c>
      <c r="BN62" s="1">
        <v>111</v>
      </c>
      <c r="BO62" s="1">
        <v>65</v>
      </c>
      <c r="BP62" s="1">
        <v>3.96</v>
      </c>
      <c r="BQ62" s="1">
        <v>4.24</v>
      </c>
      <c r="BR62" s="1">
        <v>1.31</v>
      </c>
      <c r="BS62" s="1">
        <v>3.17</v>
      </c>
      <c r="BT62" s="1">
        <v>53</v>
      </c>
      <c r="BU62" s="1">
        <v>0</v>
      </c>
      <c r="BV62" s="1">
        <v>42.1</v>
      </c>
      <c r="BW62" s="1">
        <v>11</v>
      </c>
      <c r="BX62" s="1">
        <v>46.19</v>
      </c>
      <c r="BY62" s="1">
        <v>334.98</v>
      </c>
      <c r="BZ62" s="1">
        <v>38.909999999999997</v>
      </c>
      <c r="CA62" s="1">
        <v>4.6100000000000003</v>
      </c>
      <c r="CB62" s="1">
        <v>46.08</v>
      </c>
      <c r="CC62" s="1">
        <v>8.19</v>
      </c>
      <c r="CD62" s="1">
        <v>58.15</v>
      </c>
      <c r="CE62" s="1">
        <v>0.68</v>
      </c>
      <c r="CF62" s="1">
        <v>50.45</v>
      </c>
      <c r="CG62" s="1">
        <v>0</v>
      </c>
      <c r="CH62" s="1">
        <v>44.29</v>
      </c>
      <c r="CI62" s="1">
        <v>0</v>
      </c>
      <c r="CJ62" s="1">
        <v>45.77</v>
      </c>
      <c r="CK62" s="1">
        <v>0.01</v>
      </c>
      <c r="CL62" s="1">
        <v>53.72</v>
      </c>
      <c r="CM62" s="1">
        <v>0.08</v>
      </c>
      <c r="CN62" s="1">
        <v>72.81</v>
      </c>
      <c r="CO62" s="1">
        <v>0.09</v>
      </c>
      <c r="CP62" s="1">
        <v>66.400000000000006</v>
      </c>
      <c r="CQ62" s="1">
        <v>-0.1</v>
      </c>
      <c r="CR62" s="1">
        <v>39.840000000000003</v>
      </c>
      <c r="CS62" s="1">
        <v>55</v>
      </c>
      <c r="CT62" s="1">
        <v>43</v>
      </c>
      <c r="CU62" s="1">
        <v>41</v>
      </c>
      <c r="CV62" s="1">
        <v>44</v>
      </c>
      <c r="CW62" s="1">
        <v>49</v>
      </c>
      <c r="CX62" s="1">
        <v>40</v>
      </c>
      <c r="CY62" s="1">
        <v>65</v>
      </c>
      <c r="CZ62" s="1">
        <v>49</v>
      </c>
      <c r="DA62" s="1">
        <v>1</v>
      </c>
    </row>
    <row r="63" spans="1:105" x14ac:dyDescent="0.15">
      <c r="A63" s="1" t="s">
        <v>289</v>
      </c>
      <c r="B63" s="1" t="s">
        <v>458</v>
      </c>
      <c r="C63" s="1">
        <v>3</v>
      </c>
      <c r="D63" s="1">
        <v>16</v>
      </c>
      <c r="E63" s="1">
        <v>40</v>
      </c>
      <c r="F63" s="1">
        <v>110</v>
      </c>
      <c r="G63" s="1">
        <v>106</v>
      </c>
      <c r="H63" s="1">
        <v>4</v>
      </c>
      <c r="I63" s="1">
        <v>59</v>
      </c>
      <c r="J63" s="1">
        <v>50</v>
      </c>
      <c r="K63" s="1">
        <v>44</v>
      </c>
      <c r="L63" s="1">
        <v>64</v>
      </c>
      <c r="M63" s="1">
        <v>114</v>
      </c>
      <c r="N63" s="1">
        <v>110</v>
      </c>
      <c r="O63" s="1">
        <v>37</v>
      </c>
      <c r="P63" s="1">
        <v>49</v>
      </c>
      <c r="Q63" s="1">
        <v>30</v>
      </c>
      <c r="R63" s="1">
        <v>62</v>
      </c>
      <c r="S63" s="1">
        <v>111</v>
      </c>
      <c r="T63" s="1">
        <v>108</v>
      </c>
      <c r="U63" s="1">
        <v>225</v>
      </c>
      <c r="V63" s="1">
        <v>111</v>
      </c>
      <c r="W63" s="1">
        <v>120</v>
      </c>
      <c r="X63" s="1">
        <v>32</v>
      </c>
      <c r="Y63" s="1">
        <v>0</v>
      </c>
      <c r="Z63" s="1">
        <v>32</v>
      </c>
      <c r="AA63" s="1">
        <v>10</v>
      </c>
      <c r="AB63" s="1">
        <v>120</v>
      </c>
      <c r="AC63" s="1">
        <v>65</v>
      </c>
      <c r="AD63" s="1">
        <v>9</v>
      </c>
      <c r="AE63" s="1">
        <v>19</v>
      </c>
      <c r="AF63" s="1">
        <v>97</v>
      </c>
      <c r="AG63" s="1">
        <v>32</v>
      </c>
      <c r="AH63" s="1">
        <v>44</v>
      </c>
      <c r="AI63" s="1">
        <v>64</v>
      </c>
      <c r="AJ63" s="1">
        <v>55</v>
      </c>
      <c r="AK63" s="1">
        <v>8</v>
      </c>
      <c r="AL63" s="1">
        <v>12</v>
      </c>
      <c r="AM63" s="1">
        <v>12</v>
      </c>
      <c r="AN63" s="1">
        <v>32</v>
      </c>
      <c r="AO63" s="1">
        <v>59</v>
      </c>
      <c r="AP63" s="1">
        <v>12</v>
      </c>
      <c r="AQ63" s="1">
        <v>59</v>
      </c>
      <c r="AR63" s="1">
        <v>12</v>
      </c>
      <c r="AS63" s="1">
        <v>58</v>
      </c>
      <c r="AT63" s="1">
        <v>17</v>
      </c>
      <c r="AU63" s="1">
        <v>54</v>
      </c>
      <c r="AV63" s="1">
        <v>14</v>
      </c>
      <c r="AW63" s="1">
        <v>46</v>
      </c>
      <c r="AX63" s="1">
        <v>24</v>
      </c>
      <c r="AY63" s="1">
        <v>60</v>
      </c>
      <c r="AZ63" s="1">
        <v>5</v>
      </c>
      <c r="BA63" s="1">
        <v>7</v>
      </c>
      <c r="BB63" s="1">
        <v>12</v>
      </c>
      <c r="BC63" s="1">
        <v>24</v>
      </c>
      <c r="BD63" s="1">
        <v>48</v>
      </c>
      <c r="BE63" s="1">
        <v>12</v>
      </c>
      <c r="BF63" s="1">
        <v>63</v>
      </c>
      <c r="BG63" s="1">
        <v>15</v>
      </c>
      <c r="BH63" s="1">
        <v>14</v>
      </c>
      <c r="BI63" s="1">
        <v>17</v>
      </c>
      <c r="BJ63" s="1">
        <v>46</v>
      </c>
      <c r="BK63" s="1">
        <v>41</v>
      </c>
      <c r="BL63" s="1">
        <v>29</v>
      </c>
      <c r="BM63" s="1">
        <v>60</v>
      </c>
      <c r="BN63" s="1">
        <v>97</v>
      </c>
      <c r="BO63" s="1">
        <v>49</v>
      </c>
      <c r="BP63" s="1">
        <v>3.12</v>
      </c>
      <c r="BQ63" s="1">
        <v>2.61</v>
      </c>
      <c r="BR63" s="1">
        <v>0.36</v>
      </c>
      <c r="BS63" s="1">
        <v>2.0299999999999998</v>
      </c>
      <c r="BT63" s="1">
        <v>32</v>
      </c>
      <c r="BU63" s="1">
        <v>0</v>
      </c>
      <c r="BV63" s="1">
        <v>44.87</v>
      </c>
      <c r="BW63" s="1">
        <v>7</v>
      </c>
      <c r="BX63" s="1">
        <v>44.3</v>
      </c>
      <c r="BY63" s="1">
        <v>435.08</v>
      </c>
      <c r="BZ63" s="1">
        <v>56.76</v>
      </c>
      <c r="CA63" s="1">
        <v>6.63</v>
      </c>
      <c r="CB63" s="1">
        <v>58.01</v>
      </c>
      <c r="CC63" s="1">
        <v>7.4</v>
      </c>
      <c r="CD63" s="1">
        <v>51.64</v>
      </c>
      <c r="CE63" s="1">
        <v>0.82</v>
      </c>
      <c r="CF63" s="1">
        <v>51.22</v>
      </c>
      <c r="CG63" s="1">
        <v>0.54</v>
      </c>
      <c r="CH63" s="1">
        <v>47.75</v>
      </c>
      <c r="CI63" s="1">
        <v>0</v>
      </c>
      <c r="CJ63" s="1">
        <v>46.79</v>
      </c>
      <c r="CK63" s="1">
        <v>-0.03</v>
      </c>
      <c r="CL63" s="1">
        <v>37.14</v>
      </c>
      <c r="CM63" s="1">
        <v>-0.1</v>
      </c>
      <c r="CN63" s="1">
        <v>37.72</v>
      </c>
      <c r="CO63" s="1">
        <v>0.08</v>
      </c>
      <c r="CP63" s="1">
        <v>60.62</v>
      </c>
      <c r="CQ63" s="1">
        <v>0.01</v>
      </c>
      <c r="CR63" s="1">
        <v>49.1</v>
      </c>
      <c r="CS63" s="1">
        <v>54</v>
      </c>
      <c r="CT63" s="1">
        <v>37</v>
      </c>
      <c r="CU63" s="1">
        <v>50</v>
      </c>
      <c r="CV63" s="1">
        <v>59</v>
      </c>
      <c r="CW63" s="1">
        <v>48</v>
      </c>
      <c r="CX63" s="1">
        <v>60</v>
      </c>
      <c r="CY63" s="1">
        <v>49</v>
      </c>
      <c r="CZ63" s="1">
        <v>51</v>
      </c>
      <c r="DA63" s="1">
        <v>1</v>
      </c>
    </row>
    <row r="64" spans="1:105" x14ac:dyDescent="0.15">
      <c r="A64" s="1" t="s">
        <v>295</v>
      </c>
      <c r="B64" s="1" t="s">
        <v>459</v>
      </c>
      <c r="C64" s="1">
        <v>3</v>
      </c>
      <c r="D64" s="1">
        <v>13</v>
      </c>
      <c r="E64" s="1">
        <v>33</v>
      </c>
      <c r="F64" s="1">
        <v>100</v>
      </c>
      <c r="G64" s="1">
        <v>102</v>
      </c>
      <c r="H64" s="1">
        <v>-2</v>
      </c>
      <c r="I64" s="1">
        <v>58</v>
      </c>
      <c r="J64" s="1">
        <v>50</v>
      </c>
      <c r="K64" s="1">
        <v>33</v>
      </c>
      <c r="L64" s="1">
        <v>45</v>
      </c>
      <c r="M64" s="1">
        <v>95</v>
      </c>
      <c r="N64" s="1">
        <v>96</v>
      </c>
      <c r="O64" s="1">
        <v>61</v>
      </c>
      <c r="P64" s="1">
        <v>63</v>
      </c>
      <c r="Q64" s="1">
        <v>29</v>
      </c>
      <c r="R64" s="1">
        <v>60</v>
      </c>
      <c r="S64" s="1">
        <v>123</v>
      </c>
      <c r="T64" s="1">
        <v>119</v>
      </c>
      <c r="U64" s="1">
        <v>218</v>
      </c>
      <c r="V64" s="1">
        <v>108</v>
      </c>
      <c r="W64" s="1">
        <v>120</v>
      </c>
      <c r="X64" s="1">
        <v>40</v>
      </c>
      <c r="Y64" s="1">
        <v>2</v>
      </c>
      <c r="Z64" s="1">
        <v>38</v>
      </c>
      <c r="AA64" s="1">
        <v>12</v>
      </c>
      <c r="AB64" s="1">
        <v>120</v>
      </c>
      <c r="AC64" s="1">
        <v>77</v>
      </c>
      <c r="AD64" s="1">
        <v>11</v>
      </c>
      <c r="AE64" s="1">
        <v>23</v>
      </c>
      <c r="AF64" s="1">
        <v>108</v>
      </c>
      <c r="AG64" s="1">
        <v>29</v>
      </c>
      <c r="AH64" s="1">
        <v>45</v>
      </c>
      <c r="AI64" s="1">
        <v>56</v>
      </c>
      <c r="AJ64" s="1">
        <v>44</v>
      </c>
      <c r="AK64" s="1">
        <v>7</v>
      </c>
      <c r="AL64" s="1">
        <v>10</v>
      </c>
      <c r="AM64" s="1">
        <v>10</v>
      </c>
      <c r="AN64" s="1">
        <v>27</v>
      </c>
      <c r="AO64" s="1">
        <v>45</v>
      </c>
      <c r="AP64" s="1">
        <v>9</v>
      </c>
      <c r="AQ64" s="1">
        <v>44</v>
      </c>
      <c r="AR64" s="1">
        <v>11</v>
      </c>
      <c r="AS64" s="1">
        <v>51</v>
      </c>
      <c r="AT64" s="1">
        <v>14</v>
      </c>
      <c r="AU64" s="1">
        <v>43</v>
      </c>
      <c r="AV64" s="1">
        <v>15</v>
      </c>
      <c r="AW64" s="1">
        <v>48</v>
      </c>
      <c r="AX64" s="1">
        <v>22</v>
      </c>
      <c r="AY64" s="1">
        <v>52</v>
      </c>
      <c r="AZ64" s="1">
        <v>10</v>
      </c>
      <c r="BA64" s="1">
        <v>10</v>
      </c>
      <c r="BB64" s="1">
        <v>8</v>
      </c>
      <c r="BC64" s="1">
        <v>28</v>
      </c>
      <c r="BD64" s="1">
        <v>52</v>
      </c>
      <c r="BE64" s="1">
        <v>10</v>
      </c>
      <c r="BF64" s="1">
        <v>50</v>
      </c>
      <c r="BG64" s="1">
        <v>16</v>
      </c>
      <c r="BH64" s="1">
        <v>11</v>
      </c>
      <c r="BI64" s="1">
        <v>20</v>
      </c>
      <c r="BJ64" s="1">
        <v>47</v>
      </c>
      <c r="BK64" s="1">
        <v>47</v>
      </c>
      <c r="BL64" s="1">
        <v>24</v>
      </c>
      <c r="BM64" s="1">
        <v>51</v>
      </c>
      <c r="BN64" s="1">
        <v>94</v>
      </c>
      <c r="BO64" s="1">
        <v>47</v>
      </c>
      <c r="BP64" s="1">
        <v>4.24</v>
      </c>
      <c r="BQ64" s="1">
        <v>3.96</v>
      </c>
      <c r="BR64" s="1">
        <v>2.68</v>
      </c>
      <c r="BS64" s="1">
        <v>3.63</v>
      </c>
      <c r="BT64" s="1">
        <v>60</v>
      </c>
      <c r="BU64" s="1">
        <v>0</v>
      </c>
      <c r="BV64" s="1">
        <v>44.87</v>
      </c>
      <c r="BW64" s="1">
        <v>11</v>
      </c>
      <c r="BX64" s="1">
        <v>50.49</v>
      </c>
      <c r="BY64" s="1">
        <v>411.88</v>
      </c>
      <c r="BZ64" s="1">
        <v>53.15</v>
      </c>
      <c r="CA64" s="1">
        <v>5.32</v>
      </c>
      <c r="CB64" s="1">
        <v>50.53</v>
      </c>
      <c r="CC64" s="1">
        <v>5.81</v>
      </c>
      <c r="CD64" s="1">
        <v>46.81</v>
      </c>
      <c r="CE64" s="1">
        <v>0.69</v>
      </c>
      <c r="CF64" s="1">
        <v>54.12</v>
      </c>
      <c r="CG64" s="1">
        <v>0</v>
      </c>
      <c r="CH64" s="1">
        <v>43.45</v>
      </c>
      <c r="CI64" s="1">
        <v>0</v>
      </c>
      <c r="CJ64" s="1">
        <v>46.79</v>
      </c>
      <c r="CK64" s="1">
        <v>-0.04</v>
      </c>
      <c r="CL64" s="1">
        <v>33.5</v>
      </c>
      <c r="CM64" s="1">
        <v>-0.04</v>
      </c>
      <c r="CN64" s="1">
        <v>46.65</v>
      </c>
      <c r="CO64" s="1">
        <v>0.05</v>
      </c>
      <c r="CP64" s="1">
        <v>49.53</v>
      </c>
      <c r="CQ64" s="1">
        <v>-0.01</v>
      </c>
      <c r="CR64" s="1">
        <v>46.37</v>
      </c>
      <c r="CS64" s="1">
        <v>46</v>
      </c>
      <c r="CT64" s="1">
        <v>60</v>
      </c>
      <c r="CU64" s="1">
        <v>44</v>
      </c>
      <c r="CV64" s="1">
        <v>45</v>
      </c>
      <c r="CW64" s="1">
        <v>52</v>
      </c>
      <c r="CX64" s="1">
        <v>52</v>
      </c>
      <c r="CY64" s="1">
        <v>47</v>
      </c>
      <c r="CZ64" s="1">
        <v>49</v>
      </c>
      <c r="DA64" s="1">
        <v>1</v>
      </c>
    </row>
    <row r="65" spans="1:105" x14ac:dyDescent="0.15">
      <c r="A65" s="1" t="s">
        <v>174</v>
      </c>
      <c r="B65" s="1" t="s">
        <v>460</v>
      </c>
      <c r="C65" s="1">
        <v>3</v>
      </c>
      <c r="D65" s="1">
        <v>14</v>
      </c>
      <c r="E65" s="1">
        <v>32</v>
      </c>
      <c r="F65" s="1">
        <v>98</v>
      </c>
      <c r="G65" s="1">
        <v>102</v>
      </c>
      <c r="H65" s="1">
        <v>-4</v>
      </c>
      <c r="I65" s="1">
        <v>59</v>
      </c>
      <c r="J65" s="1">
        <v>50</v>
      </c>
      <c r="K65" s="1">
        <v>34</v>
      </c>
      <c r="L65" s="1">
        <v>47</v>
      </c>
      <c r="M65" s="1">
        <v>97</v>
      </c>
      <c r="N65" s="1">
        <v>98</v>
      </c>
      <c r="O65" s="1">
        <v>44</v>
      </c>
      <c r="P65" s="1">
        <v>53</v>
      </c>
      <c r="Q65" s="1">
        <v>25</v>
      </c>
      <c r="R65" s="1">
        <v>52</v>
      </c>
      <c r="S65" s="1">
        <v>105</v>
      </c>
      <c r="T65" s="1">
        <v>103</v>
      </c>
      <c r="U65" s="1">
        <v>202</v>
      </c>
      <c r="V65" s="1">
        <v>100</v>
      </c>
      <c r="W65" s="1">
        <v>120</v>
      </c>
      <c r="X65" s="1">
        <v>39</v>
      </c>
      <c r="Y65" s="1">
        <v>0</v>
      </c>
      <c r="Z65" s="1">
        <v>39</v>
      </c>
      <c r="AA65" s="1">
        <v>12</v>
      </c>
      <c r="AB65" s="1">
        <v>120</v>
      </c>
      <c r="AC65" s="1">
        <v>67</v>
      </c>
      <c r="AD65" s="1">
        <v>9</v>
      </c>
      <c r="AE65" s="1">
        <v>21</v>
      </c>
      <c r="AF65" s="1">
        <v>102</v>
      </c>
      <c r="AG65" s="1">
        <v>35</v>
      </c>
      <c r="AH65" s="1">
        <v>38</v>
      </c>
      <c r="AI65" s="1">
        <v>51</v>
      </c>
      <c r="AJ65" s="1">
        <v>43</v>
      </c>
      <c r="AK65" s="1">
        <v>6</v>
      </c>
      <c r="AL65" s="1">
        <v>9</v>
      </c>
      <c r="AM65" s="1">
        <v>11</v>
      </c>
      <c r="AN65" s="1">
        <v>26</v>
      </c>
      <c r="AO65" s="1">
        <v>45</v>
      </c>
      <c r="AP65" s="1">
        <v>9</v>
      </c>
      <c r="AQ65" s="1">
        <v>45</v>
      </c>
      <c r="AR65" s="1">
        <v>10</v>
      </c>
      <c r="AS65" s="1">
        <v>42</v>
      </c>
      <c r="AT65" s="1">
        <v>13</v>
      </c>
      <c r="AU65" s="1">
        <v>36</v>
      </c>
      <c r="AV65" s="1">
        <v>13</v>
      </c>
      <c r="AW65" s="1">
        <v>39</v>
      </c>
      <c r="AX65" s="1">
        <v>13</v>
      </c>
      <c r="AY65" s="1">
        <v>35</v>
      </c>
      <c r="AZ65" s="1">
        <v>2</v>
      </c>
      <c r="BA65" s="1">
        <v>6</v>
      </c>
      <c r="BB65" s="1">
        <v>7</v>
      </c>
      <c r="BC65" s="1">
        <v>15</v>
      </c>
      <c r="BD65" s="1">
        <v>30</v>
      </c>
      <c r="BE65" s="1">
        <v>8</v>
      </c>
      <c r="BF65" s="1">
        <v>39</v>
      </c>
      <c r="BG65" s="1">
        <v>8</v>
      </c>
      <c r="BH65" s="1">
        <v>12</v>
      </c>
      <c r="BI65" s="1">
        <v>8</v>
      </c>
      <c r="BJ65" s="1">
        <v>28</v>
      </c>
      <c r="BK65" s="1">
        <v>31</v>
      </c>
      <c r="BL65" s="1">
        <v>23</v>
      </c>
      <c r="BM65" s="1">
        <v>49</v>
      </c>
      <c r="BN65" s="1">
        <v>100</v>
      </c>
      <c r="BO65" s="1">
        <v>54</v>
      </c>
      <c r="BP65" s="1">
        <v>3.96</v>
      </c>
      <c r="BQ65" s="1">
        <v>2.95</v>
      </c>
      <c r="BR65" s="1">
        <v>0.96</v>
      </c>
      <c r="BS65" s="1">
        <v>2.62</v>
      </c>
      <c r="BT65" s="1">
        <v>43</v>
      </c>
      <c r="BU65" s="1">
        <v>1</v>
      </c>
      <c r="BV65" s="1">
        <v>45.43</v>
      </c>
      <c r="BW65" s="1">
        <v>5</v>
      </c>
      <c r="BX65" s="1">
        <v>39.200000000000003</v>
      </c>
      <c r="BY65" s="1">
        <v>421.86</v>
      </c>
      <c r="BZ65" s="1">
        <v>57.14</v>
      </c>
      <c r="CA65" s="1">
        <v>5.42</v>
      </c>
      <c r="CB65" s="1">
        <v>52.38</v>
      </c>
      <c r="CC65" s="1">
        <v>6.74</v>
      </c>
      <c r="CD65" s="1">
        <v>53.21</v>
      </c>
      <c r="CE65" s="1">
        <v>1.48</v>
      </c>
      <c r="CF65" s="1">
        <v>34.69</v>
      </c>
      <c r="CG65" s="1">
        <v>0.02</v>
      </c>
      <c r="CH65" s="1">
        <v>44.44</v>
      </c>
      <c r="CI65" s="1">
        <v>0</v>
      </c>
      <c r="CJ65" s="1">
        <v>45.77</v>
      </c>
      <c r="CK65" s="1">
        <v>-0.03</v>
      </c>
      <c r="CL65" s="1">
        <v>34.29</v>
      </c>
      <c r="CM65" s="1">
        <v>-0.02</v>
      </c>
      <c r="CN65" s="1">
        <v>54.26</v>
      </c>
      <c r="CO65" s="1">
        <v>0.06</v>
      </c>
      <c r="CP65" s="1">
        <v>53.76</v>
      </c>
      <c r="CQ65" s="1">
        <v>-0.01</v>
      </c>
      <c r="CR65" s="1">
        <v>49.52</v>
      </c>
      <c r="CS65" s="1">
        <v>41</v>
      </c>
      <c r="CT65" s="1">
        <v>43</v>
      </c>
      <c r="CU65" s="1">
        <v>35</v>
      </c>
      <c r="CV65" s="1">
        <v>45</v>
      </c>
      <c r="CW65" s="1">
        <v>30</v>
      </c>
      <c r="CX65" s="1">
        <v>35</v>
      </c>
      <c r="CY65" s="1">
        <v>54</v>
      </c>
      <c r="CZ65" s="1">
        <v>34</v>
      </c>
      <c r="DA65" s="1">
        <v>1</v>
      </c>
    </row>
    <row r="66" spans="1:105" x14ac:dyDescent="0.15">
      <c r="A66" s="1" t="s">
        <v>299</v>
      </c>
      <c r="B66" s="1" t="s">
        <v>461</v>
      </c>
      <c r="C66" s="1">
        <v>3</v>
      </c>
      <c r="D66" s="1">
        <v>12</v>
      </c>
      <c r="E66" s="1">
        <v>26</v>
      </c>
      <c r="F66" s="1">
        <v>89</v>
      </c>
      <c r="G66" s="1">
        <v>98</v>
      </c>
      <c r="H66" s="1">
        <v>-9</v>
      </c>
      <c r="I66" s="1">
        <v>60</v>
      </c>
      <c r="J66" s="1">
        <v>66</v>
      </c>
      <c r="K66" s="1">
        <v>37</v>
      </c>
      <c r="L66" s="1">
        <v>52</v>
      </c>
      <c r="M66" s="1">
        <v>118</v>
      </c>
      <c r="N66" s="1">
        <v>114</v>
      </c>
      <c r="O66" s="1">
        <v>58</v>
      </c>
      <c r="P66" s="1">
        <v>61</v>
      </c>
      <c r="Q66" s="1">
        <v>31</v>
      </c>
      <c r="R66" s="1">
        <v>64</v>
      </c>
      <c r="S66" s="1">
        <v>125</v>
      </c>
      <c r="T66" s="1">
        <v>121</v>
      </c>
      <c r="U66" s="1">
        <v>243</v>
      </c>
      <c r="V66" s="1">
        <v>120</v>
      </c>
      <c r="W66" s="1">
        <v>120</v>
      </c>
      <c r="X66" s="1">
        <v>47</v>
      </c>
      <c r="Y66" s="1">
        <v>0</v>
      </c>
      <c r="Z66" s="1">
        <v>47</v>
      </c>
      <c r="AA66" s="1">
        <v>16</v>
      </c>
      <c r="AB66" s="1">
        <v>120</v>
      </c>
      <c r="AC66" s="1">
        <v>75</v>
      </c>
      <c r="AD66" s="1">
        <v>11</v>
      </c>
      <c r="AE66" s="1">
        <v>27</v>
      </c>
      <c r="AF66" s="1">
        <v>120</v>
      </c>
      <c r="AG66" s="1">
        <v>18</v>
      </c>
      <c r="AH66" s="1">
        <v>58</v>
      </c>
      <c r="AI66" s="1">
        <v>77</v>
      </c>
      <c r="AJ66" s="1">
        <v>68</v>
      </c>
      <c r="AK66" s="1">
        <v>6</v>
      </c>
      <c r="AL66" s="1">
        <v>7</v>
      </c>
      <c r="AM66" s="1">
        <v>7</v>
      </c>
      <c r="AN66" s="1">
        <v>20</v>
      </c>
      <c r="AO66" s="1">
        <v>35</v>
      </c>
      <c r="AP66" s="1">
        <v>8</v>
      </c>
      <c r="AQ66" s="1">
        <v>38</v>
      </c>
      <c r="AR66" s="1">
        <v>11</v>
      </c>
      <c r="AS66" s="1">
        <v>51</v>
      </c>
      <c r="AT66" s="1">
        <v>16</v>
      </c>
      <c r="AU66" s="1">
        <v>44</v>
      </c>
      <c r="AV66" s="1">
        <v>15</v>
      </c>
      <c r="AW66" s="1">
        <v>45</v>
      </c>
      <c r="AX66" s="1">
        <v>26</v>
      </c>
      <c r="AY66" s="1">
        <v>61</v>
      </c>
      <c r="AZ66" s="1">
        <v>11</v>
      </c>
      <c r="BA66" s="1">
        <v>10</v>
      </c>
      <c r="BB66" s="1">
        <v>12</v>
      </c>
      <c r="BC66" s="1">
        <v>33</v>
      </c>
      <c r="BD66" s="1">
        <v>56</v>
      </c>
      <c r="BE66" s="1">
        <v>11</v>
      </c>
      <c r="BF66" s="1">
        <v>55</v>
      </c>
      <c r="BG66" s="1">
        <v>7</v>
      </c>
      <c r="BH66" s="1">
        <v>6</v>
      </c>
      <c r="BI66" s="1">
        <v>11</v>
      </c>
      <c r="BJ66" s="1">
        <v>24</v>
      </c>
      <c r="BK66" s="1">
        <v>29</v>
      </c>
      <c r="BL66" s="1">
        <v>24</v>
      </c>
      <c r="BM66" s="1">
        <v>50</v>
      </c>
      <c r="BN66" s="1">
        <v>83</v>
      </c>
      <c r="BO66" s="1">
        <v>36</v>
      </c>
      <c r="BP66" s="1">
        <v>4.24</v>
      </c>
      <c r="BQ66" s="1">
        <v>3.96</v>
      </c>
      <c r="BR66" s="1">
        <v>3.09</v>
      </c>
      <c r="BS66" s="1">
        <v>3.76</v>
      </c>
      <c r="BT66" s="1">
        <v>60</v>
      </c>
      <c r="BU66" s="1">
        <v>0</v>
      </c>
      <c r="BV66" s="1">
        <v>40.86</v>
      </c>
      <c r="BW66" s="1">
        <v>7</v>
      </c>
      <c r="BX66" s="1">
        <v>40.6</v>
      </c>
      <c r="BY66" s="1">
        <v>374.04</v>
      </c>
      <c r="BZ66" s="1">
        <v>49.25</v>
      </c>
      <c r="CA66" s="1">
        <v>4.3499999999999996</v>
      </c>
      <c r="CB66" s="1">
        <v>44.21</v>
      </c>
      <c r="CC66" s="1">
        <v>4.84</v>
      </c>
      <c r="CD66" s="1">
        <v>43.19</v>
      </c>
      <c r="CE66" s="1">
        <v>1.02</v>
      </c>
      <c r="CF66" s="1">
        <v>42.15</v>
      </c>
      <c r="CG66" s="1">
        <v>0.67</v>
      </c>
      <c r="CH66" s="1">
        <v>49.17</v>
      </c>
      <c r="CI66" s="1">
        <v>0</v>
      </c>
      <c r="CJ66" s="1">
        <v>44.54</v>
      </c>
      <c r="CK66" s="1">
        <v>0.01</v>
      </c>
      <c r="CL66" s="1">
        <v>50.77</v>
      </c>
      <c r="CM66" s="1">
        <v>0.04</v>
      </c>
      <c r="CN66" s="1">
        <v>54.99</v>
      </c>
      <c r="CO66" s="1">
        <v>0.05</v>
      </c>
      <c r="CP66" s="1">
        <v>49.95</v>
      </c>
      <c r="CQ66" s="1">
        <v>0.04</v>
      </c>
      <c r="CR66" s="1">
        <v>52.46</v>
      </c>
      <c r="CS66" s="1">
        <v>62</v>
      </c>
      <c r="CT66" s="1">
        <v>60</v>
      </c>
      <c r="CU66" s="1">
        <v>43</v>
      </c>
      <c r="CV66" s="1">
        <v>35</v>
      </c>
      <c r="CW66" s="1">
        <v>59</v>
      </c>
      <c r="CX66" s="1">
        <v>61</v>
      </c>
      <c r="CY66" s="1">
        <v>36</v>
      </c>
      <c r="CZ66" s="1">
        <v>51</v>
      </c>
      <c r="DA66" s="1">
        <v>1</v>
      </c>
    </row>
    <row r="67" spans="1:105" x14ac:dyDescent="0.15">
      <c r="A67" s="1" t="s">
        <v>297</v>
      </c>
      <c r="B67" s="1" t="s">
        <v>462</v>
      </c>
      <c r="C67" s="1">
        <v>3</v>
      </c>
      <c r="D67" s="1">
        <v>13</v>
      </c>
      <c r="E67" s="1">
        <v>36</v>
      </c>
      <c r="F67" s="1">
        <v>105</v>
      </c>
      <c r="G67" s="1">
        <v>102</v>
      </c>
      <c r="H67" s="1">
        <v>3</v>
      </c>
      <c r="I67" s="1">
        <v>59</v>
      </c>
      <c r="J67" s="1">
        <v>51</v>
      </c>
      <c r="K67" s="1">
        <v>35</v>
      </c>
      <c r="L67" s="1">
        <v>49</v>
      </c>
      <c r="M67" s="1">
        <v>100</v>
      </c>
      <c r="N67" s="1">
        <v>99</v>
      </c>
      <c r="O67" s="1">
        <v>13</v>
      </c>
      <c r="P67" s="1">
        <v>32</v>
      </c>
      <c r="Q67" s="1">
        <v>16</v>
      </c>
      <c r="R67" s="1">
        <v>36</v>
      </c>
      <c r="S67" s="1">
        <v>68</v>
      </c>
      <c r="T67" s="1">
        <v>76</v>
      </c>
      <c r="U67" s="1">
        <v>168</v>
      </c>
      <c r="V67" s="1">
        <v>86</v>
      </c>
      <c r="W67" s="1">
        <v>120</v>
      </c>
      <c r="X67" s="1">
        <v>34</v>
      </c>
      <c r="Y67" s="1">
        <v>3</v>
      </c>
      <c r="Z67" s="1">
        <v>31</v>
      </c>
      <c r="AA67" s="1">
        <v>9</v>
      </c>
      <c r="AB67" s="1">
        <v>120</v>
      </c>
      <c r="AC67" s="1">
        <v>82</v>
      </c>
      <c r="AD67" s="1">
        <v>12</v>
      </c>
      <c r="AE67" s="1">
        <v>21</v>
      </c>
      <c r="AF67" s="1">
        <v>102</v>
      </c>
      <c r="AG67" s="1">
        <v>26</v>
      </c>
      <c r="AH67" s="1">
        <v>49</v>
      </c>
      <c r="AI67" s="1">
        <v>77</v>
      </c>
      <c r="AJ67" s="1">
        <v>66</v>
      </c>
      <c r="AK67" s="1">
        <v>7</v>
      </c>
      <c r="AL67" s="1">
        <v>11</v>
      </c>
      <c r="AM67" s="1">
        <v>11</v>
      </c>
      <c r="AN67" s="1">
        <v>29</v>
      </c>
      <c r="AO67" s="1">
        <v>50</v>
      </c>
      <c r="AP67" s="1">
        <v>10</v>
      </c>
      <c r="AQ67" s="1">
        <v>50</v>
      </c>
      <c r="AR67" s="1">
        <v>12</v>
      </c>
      <c r="AS67" s="1">
        <v>58</v>
      </c>
      <c r="AT67" s="1">
        <v>16</v>
      </c>
      <c r="AU67" s="1">
        <v>49</v>
      </c>
      <c r="AV67" s="1">
        <v>15</v>
      </c>
      <c r="AW67" s="1">
        <v>48</v>
      </c>
      <c r="AX67" s="1">
        <v>26</v>
      </c>
      <c r="AY67" s="1">
        <v>66</v>
      </c>
      <c r="AZ67" s="1">
        <v>5</v>
      </c>
      <c r="BA67" s="1">
        <v>11</v>
      </c>
      <c r="BB67" s="1">
        <v>9</v>
      </c>
      <c r="BC67" s="1">
        <v>25</v>
      </c>
      <c r="BD67" s="1">
        <v>47</v>
      </c>
      <c r="BE67" s="1">
        <v>10</v>
      </c>
      <c r="BF67" s="1">
        <v>50</v>
      </c>
      <c r="BG67" s="1">
        <v>13</v>
      </c>
      <c r="BH67" s="1">
        <v>10</v>
      </c>
      <c r="BI67" s="1">
        <v>16</v>
      </c>
      <c r="BJ67" s="1">
        <v>39</v>
      </c>
      <c r="BK67" s="1">
        <v>39</v>
      </c>
      <c r="BL67" s="1">
        <v>22</v>
      </c>
      <c r="BM67" s="1">
        <v>47</v>
      </c>
      <c r="BN67" s="1">
        <v>107</v>
      </c>
      <c r="BO67" s="1">
        <v>62</v>
      </c>
      <c r="BP67" s="1">
        <v>3.62</v>
      </c>
      <c r="BQ67" s="1">
        <v>3.96</v>
      </c>
      <c r="BR67" s="1">
        <v>1.64</v>
      </c>
      <c r="BS67" s="1">
        <v>3.07</v>
      </c>
      <c r="BT67" s="1">
        <v>52</v>
      </c>
      <c r="BU67" s="1">
        <v>2</v>
      </c>
      <c r="BV67" s="1">
        <v>49.76</v>
      </c>
      <c r="BW67" s="1">
        <v>9</v>
      </c>
      <c r="BX67" s="1">
        <v>47.4</v>
      </c>
      <c r="BY67" s="1">
        <v>381.34</v>
      </c>
      <c r="BZ67" s="1">
        <v>48.08</v>
      </c>
      <c r="CA67" s="1">
        <v>5.74</v>
      </c>
      <c r="CB67" s="1">
        <v>53.11</v>
      </c>
      <c r="CC67" s="1">
        <v>6.83</v>
      </c>
      <c r="CD67" s="1">
        <v>50.05</v>
      </c>
      <c r="CE67" s="1">
        <v>0.73</v>
      </c>
      <c r="CF67" s="1">
        <v>53.21</v>
      </c>
      <c r="CG67" s="1">
        <v>1.05</v>
      </c>
      <c r="CH67" s="1">
        <v>51.81</v>
      </c>
      <c r="CI67" s="1">
        <v>0</v>
      </c>
      <c r="CJ67" s="1">
        <v>46.79</v>
      </c>
      <c r="CK67" s="1">
        <v>-0.01</v>
      </c>
      <c r="CL67" s="1">
        <v>43.18</v>
      </c>
      <c r="CM67" s="1">
        <v>-0.08</v>
      </c>
      <c r="CN67" s="1">
        <v>41.47</v>
      </c>
      <c r="CO67" s="1">
        <v>7.0000000000000007E-2</v>
      </c>
      <c r="CP67" s="1">
        <v>54.06</v>
      </c>
      <c r="CQ67" s="1">
        <v>0</v>
      </c>
      <c r="CR67" s="1">
        <v>47.75</v>
      </c>
      <c r="CS67" s="1">
        <v>55</v>
      </c>
      <c r="CT67" s="1">
        <v>52</v>
      </c>
      <c r="CU67" s="1">
        <v>48</v>
      </c>
      <c r="CV67" s="1">
        <v>50</v>
      </c>
      <c r="CW67" s="1">
        <v>47</v>
      </c>
      <c r="CX67" s="1">
        <v>66</v>
      </c>
      <c r="CY67" s="1">
        <v>62</v>
      </c>
      <c r="CZ67" s="1">
        <v>57</v>
      </c>
      <c r="DA67" s="1">
        <v>1</v>
      </c>
    </row>
    <row r="68" spans="1:105" x14ac:dyDescent="0.15">
      <c r="A68" s="1" t="s">
        <v>305</v>
      </c>
      <c r="B68" s="1" t="s">
        <v>463</v>
      </c>
      <c r="C68" s="1">
        <v>3</v>
      </c>
      <c r="D68" s="1">
        <v>13</v>
      </c>
      <c r="E68" s="1">
        <v>35</v>
      </c>
      <c r="F68" s="1">
        <v>102</v>
      </c>
      <c r="G68" s="1">
        <v>102</v>
      </c>
      <c r="H68" s="1">
        <v>0</v>
      </c>
      <c r="I68" s="1">
        <v>67</v>
      </c>
      <c r="J68" s="1">
        <v>59</v>
      </c>
      <c r="K68" s="1">
        <v>42</v>
      </c>
      <c r="L68" s="1">
        <v>61</v>
      </c>
      <c r="M68" s="1">
        <v>120</v>
      </c>
      <c r="N68" s="1">
        <v>116</v>
      </c>
      <c r="O68" s="1">
        <v>54</v>
      </c>
      <c r="P68" s="1">
        <v>60</v>
      </c>
      <c r="Q68" s="1">
        <v>30</v>
      </c>
      <c r="R68" s="1">
        <v>65</v>
      </c>
      <c r="S68" s="1">
        <v>125</v>
      </c>
      <c r="T68" s="1">
        <v>121</v>
      </c>
      <c r="U68" s="1">
        <v>245</v>
      </c>
      <c r="V68" s="1">
        <v>121</v>
      </c>
      <c r="W68" s="1">
        <v>120</v>
      </c>
      <c r="X68" s="1">
        <v>32</v>
      </c>
      <c r="Y68" s="1">
        <v>0</v>
      </c>
      <c r="Z68" s="1">
        <v>32</v>
      </c>
      <c r="AA68" s="1">
        <v>11</v>
      </c>
      <c r="AB68" s="1">
        <v>120</v>
      </c>
      <c r="AC68" s="1">
        <v>58</v>
      </c>
      <c r="AD68" s="1">
        <v>9</v>
      </c>
      <c r="AE68" s="1">
        <v>20</v>
      </c>
      <c r="AF68" s="1">
        <v>100</v>
      </c>
      <c r="AG68" s="1">
        <v>23</v>
      </c>
      <c r="AH68" s="1">
        <v>57</v>
      </c>
      <c r="AI68" s="1">
        <v>58</v>
      </c>
      <c r="AJ68" s="1">
        <v>57</v>
      </c>
      <c r="AK68" s="1">
        <v>7</v>
      </c>
      <c r="AL68" s="1">
        <v>11</v>
      </c>
      <c r="AM68" s="1">
        <v>11</v>
      </c>
      <c r="AN68" s="1">
        <v>29</v>
      </c>
      <c r="AO68" s="1">
        <v>52</v>
      </c>
      <c r="AP68" s="1">
        <v>9</v>
      </c>
      <c r="AQ68" s="1">
        <v>44</v>
      </c>
      <c r="AR68" s="1">
        <v>12</v>
      </c>
      <c r="AS68" s="1">
        <v>57</v>
      </c>
      <c r="AT68" s="1">
        <v>18</v>
      </c>
      <c r="AU68" s="1">
        <v>56</v>
      </c>
      <c r="AV68" s="1">
        <v>13</v>
      </c>
      <c r="AW68" s="1">
        <v>41</v>
      </c>
      <c r="AX68" s="1">
        <v>26</v>
      </c>
      <c r="AY68" s="1">
        <v>70</v>
      </c>
      <c r="AZ68" s="1">
        <v>6</v>
      </c>
      <c r="BA68" s="1">
        <v>10</v>
      </c>
      <c r="BB68" s="1">
        <v>12</v>
      </c>
      <c r="BC68" s="1">
        <v>28</v>
      </c>
      <c r="BD68" s="1">
        <v>60</v>
      </c>
      <c r="BE68" s="1">
        <v>11</v>
      </c>
      <c r="BF68" s="1">
        <v>60</v>
      </c>
      <c r="BG68" s="1">
        <v>11</v>
      </c>
      <c r="BH68" s="1">
        <v>10</v>
      </c>
      <c r="BI68" s="1">
        <v>15</v>
      </c>
      <c r="BJ68" s="1">
        <v>36</v>
      </c>
      <c r="BK68" s="1">
        <v>42</v>
      </c>
      <c r="BL68" s="1">
        <v>19</v>
      </c>
      <c r="BM68" s="1">
        <v>43</v>
      </c>
      <c r="BN68" s="1">
        <v>94</v>
      </c>
      <c r="BO68" s="1">
        <v>46</v>
      </c>
      <c r="BP68" s="1">
        <v>4.24</v>
      </c>
      <c r="BQ68" s="1">
        <v>3.34</v>
      </c>
      <c r="BR68" s="1">
        <v>1.05</v>
      </c>
      <c r="BS68" s="1">
        <v>2.88</v>
      </c>
      <c r="BT68" s="1">
        <v>49</v>
      </c>
      <c r="BU68" s="1">
        <v>0</v>
      </c>
      <c r="BV68" s="1">
        <v>42.1</v>
      </c>
      <c r="BW68" s="1">
        <v>17</v>
      </c>
      <c r="BX68" s="1">
        <v>53.17</v>
      </c>
      <c r="BY68" s="1">
        <v>365.23</v>
      </c>
      <c r="BZ68" s="1">
        <v>45.74</v>
      </c>
      <c r="CA68" s="1">
        <v>5.01</v>
      </c>
      <c r="CB68" s="1">
        <v>49.34</v>
      </c>
      <c r="CC68" s="1">
        <v>3.51</v>
      </c>
      <c r="CD68" s="1">
        <v>36.61</v>
      </c>
      <c r="CE68" s="1">
        <v>0.27</v>
      </c>
      <c r="CF68" s="1">
        <v>58.28</v>
      </c>
      <c r="CG68" s="1">
        <v>0.09</v>
      </c>
      <c r="CH68" s="1">
        <v>44.9</v>
      </c>
      <c r="CI68" s="1">
        <v>0</v>
      </c>
      <c r="CJ68" s="1">
        <v>45.77</v>
      </c>
      <c r="CK68" s="1">
        <v>-0.03</v>
      </c>
      <c r="CL68" s="1">
        <v>37.44</v>
      </c>
      <c r="CM68" s="1">
        <v>0</v>
      </c>
      <c r="CN68" s="1">
        <v>57.24</v>
      </c>
      <c r="CO68" s="1">
        <v>7.0000000000000007E-2</v>
      </c>
      <c r="CP68" s="1">
        <v>60.59</v>
      </c>
      <c r="CQ68" s="1">
        <v>0.01</v>
      </c>
      <c r="CR68" s="1">
        <v>51.44</v>
      </c>
      <c r="CS68" s="1">
        <v>53</v>
      </c>
      <c r="CT68" s="1">
        <v>49</v>
      </c>
      <c r="CU68" s="1">
        <v>48</v>
      </c>
      <c r="CV68" s="1">
        <v>55</v>
      </c>
      <c r="CW68" s="1">
        <v>60</v>
      </c>
      <c r="CX68" s="1">
        <v>70</v>
      </c>
      <c r="CY68" s="1">
        <v>46</v>
      </c>
      <c r="CZ68" s="1">
        <v>57</v>
      </c>
      <c r="DA68" s="1">
        <v>1</v>
      </c>
    </row>
    <row r="69" spans="1:105" x14ac:dyDescent="0.15">
      <c r="A69" s="1" t="s">
        <v>303</v>
      </c>
      <c r="B69" s="1" t="s">
        <v>464</v>
      </c>
      <c r="C69" s="1">
        <v>3</v>
      </c>
      <c r="D69" s="1">
        <v>12</v>
      </c>
      <c r="E69" s="1">
        <v>39</v>
      </c>
      <c r="F69" s="1">
        <v>108</v>
      </c>
      <c r="G69" s="1">
        <v>98</v>
      </c>
      <c r="H69" s="1">
        <v>10</v>
      </c>
      <c r="I69" s="1">
        <v>68</v>
      </c>
      <c r="J69" s="1">
        <v>60</v>
      </c>
      <c r="K69" s="1">
        <v>43</v>
      </c>
      <c r="L69" s="1">
        <v>62</v>
      </c>
      <c r="M69" s="1">
        <v>122</v>
      </c>
      <c r="N69" s="1">
        <v>118</v>
      </c>
      <c r="O69" s="1">
        <v>50</v>
      </c>
      <c r="P69" s="1">
        <v>58</v>
      </c>
      <c r="Q69" s="1">
        <v>24</v>
      </c>
      <c r="R69" s="1">
        <v>54</v>
      </c>
      <c r="S69" s="1">
        <v>112</v>
      </c>
      <c r="T69" s="1">
        <v>105</v>
      </c>
      <c r="U69" s="1">
        <v>234</v>
      </c>
      <c r="V69" s="1">
        <v>115</v>
      </c>
      <c r="W69" s="1">
        <v>120</v>
      </c>
      <c r="X69" s="1">
        <v>39</v>
      </c>
      <c r="Y69" s="1">
        <v>2</v>
      </c>
      <c r="Z69" s="1">
        <v>37</v>
      </c>
      <c r="AA69" s="1">
        <v>12</v>
      </c>
      <c r="AB69" s="1">
        <v>120</v>
      </c>
      <c r="AC69" s="1">
        <v>64</v>
      </c>
      <c r="AD69" s="1">
        <v>10</v>
      </c>
      <c r="AE69" s="1">
        <v>22</v>
      </c>
      <c r="AF69" s="1">
        <v>105</v>
      </c>
      <c r="AG69" s="1">
        <v>40</v>
      </c>
      <c r="AH69" s="1">
        <v>38</v>
      </c>
      <c r="AI69" s="1">
        <v>43</v>
      </c>
      <c r="AJ69" s="1">
        <v>40</v>
      </c>
      <c r="AK69" s="1">
        <v>6</v>
      </c>
      <c r="AL69" s="1">
        <v>9</v>
      </c>
      <c r="AM69" s="1">
        <v>9</v>
      </c>
      <c r="AN69" s="1">
        <v>24</v>
      </c>
      <c r="AO69" s="1">
        <v>42</v>
      </c>
      <c r="AP69" s="1">
        <v>5</v>
      </c>
      <c r="AQ69" s="1">
        <v>21</v>
      </c>
      <c r="AR69" s="1">
        <v>10</v>
      </c>
      <c r="AS69" s="1">
        <v>45</v>
      </c>
      <c r="AT69" s="1">
        <v>15</v>
      </c>
      <c r="AU69" s="1">
        <v>45</v>
      </c>
      <c r="AV69" s="1">
        <v>17</v>
      </c>
      <c r="AW69" s="1">
        <v>53</v>
      </c>
      <c r="AX69" s="1">
        <v>26</v>
      </c>
      <c r="AY69" s="1">
        <v>70</v>
      </c>
      <c r="AZ69" s="1">
        <v>5</v>
      </c>
      <c r="BA69" s="1">
        <v>12</v>
      </c>
      <c r="BB69" s="1">
        <v>12</v>
      </c>
      <c r="BC69" s="1">
        <v>29</v>
      </c>
      <c r="BD69" s="1">
        <v>61</v>
      </c>
      <c r="BE69" s="1">
        <v>12</v>
      </c>
      <c r="BF69" s="1">
        <v>65</v>
      </c>
      <c r="BG69" s="1">
        <v>11</v>
      </c>
      <c r="BH69" s="1">
        <v>5</v>
      </c>
      <c r="BI69" s="1">
        <v>16</v>
      </c>
      <c r="BJ69" s="1">
        <v>32</v>
      </c>
      <c r="BK69" s="1">
        <v>41</v>
      </c>
      <c r="BL69" s="1">
        <v>18</v>
      </c>
      <c r="BM69" s="1">
        <v>41</v>
      </c>
      <c r="BN69" s="1">
        <v>105</v>
      </c>
      <c r="BO69" s="1">
        <v>58</v>
      </c>
      <c r="BP69" s="1">
        <v>3.4</v>
      </c>
      <c r="BQ69" s="1">
        <v>2.08</v>
      </c>
      <c r="BR69" s="1">
        <v>2.12</v>
      </c>
      <c r="BS69" s="1">
        <v>2.5300000000000002</v>
      </c>
      <c r="BT69" s="1">
        <v>43</v>
      </c>
      <c r="BU69" s="1">
        <v>3</v>
      </c>
      <c r="BV69" s="1">
        <v>52.1</v>
      </c>
      <c r="BW69" s="1">
        <v>31</v>
      </c>
      <c r="BX69" s="1">
        <v>69.47</v>
      </c>
      <c r="BY69" s="1">
        <v>290.93</v>
      </c>
      <c r="BZ69" s="1">
        <v>27.77</v>
      </c>
      <c r="CA69" s="1">
        <v>3.91</v>
      </c>
      <c r="CB69" s="1">
        <v>39.630000000000003</v>
      </c>
      <c r="CC69" s="1">
        <v>4.88</v>
      </c>
      <c r="CD69" s="1">
        <v>44.98</v>
      </c>
      <c r="CE69" s="1">
        <v>0.23</v>
      </c>
      <c r="CF69" s="1">
        <v>59.21</v>
      </c>
      <c r="CG69" s="1">
        <v>0.34</v>
      </c>
      <c r="CH69" s="1">
        <v>46.71</v>
      </c>
      <c r="CI69" s="1">
        <v>1</v>
      </c>
      <c r="CJ69" s="1">
        <v>66.92</v>
      </c>
      <c r="CK69" s="1">
        <v>0.01</v>
      </c>
      <c r="CL69" s="1">
        <v>53.32</v>
      </c>
      <c r="CM69" s="1">
        <v>0.01</v>
      </c>
      <c r="CN69" s="1">
        <v>58.71</v>
      </c>
      <c r="CO69" s="1">
        <v>7.0000000000000007E-2</v>
      </c>
      <c r="CP69" s="1">
        <v>58.71</v>
      </c>
      <c r="CQ69" s="1">
        <v>-0.13</v>
      </c>
      <c r="CR69" s="1">
        <v>36.11</v>
      </c>
      <c r="CS69" s="1">
        <v>36</v>
      </c>
      <c r="CT69" s="1">
        <v>43</v>
      </c>
      <c r="CU69" s="1">
        <v>49</v>
      </c>
      <c r="CV69" s="1">
        <v>42</v>
      </c>
      <c r="CW69" s="1">
        <v>61</v>
      </c>
      <c r="CX69" s="1">
        <v>70</v>
      </c>
      <c r="CY69" s="1">
        <v>58</v>
      </c>
      <c r="CZ69" s="1">
        <v>52</v>
      </c>
      <c r="DA69" s="1">
        <v>1</v>
      </c>
    </row>
    <row r="70" spans="1:105" x14ac:dyDescent="0.15">
      <c r="A70" s="1" t="s">
        <v>32</v>
      </c>
      <c r="B70" s="1" t="s">
        <v>465</v>
      </c>
      <c r="C70" s="1">
        <v>1</v>
      </c>
      <c r="D70" s="1">
        <v>12</v>
      </c>
      <c r="E70" s="1">
        <v>28</v>
      </c>
      <c r="F70" s="1">
        <v>92</v>
      </c>
      <c r="G70" s="1">
        <v>99</v>
      </c>
      <c r="H70" s="1">
        <v>-7</v>
      </c>
      <c r="I70" s="1">
        <v>51</v>
      </c>
      <c r="J70" s="1">
        <v>42</v>
      </c>
      <c r="K70" s="1">
        <v>41</v>
      </c>
      <c r="L70" s="1">
        <v>59</v>
      </c>
      <c r="M70" s="1">
        <v>101</v>
      </c>
      <c r="N70" s="1">
        <v>100</v>
      </c>
      <c r="O70" s="1">
        <v>32</v>
      </c>
      <c r="P70" s="1">
        <v>47</v>
      </c>
      <c r="Q70" s="1">
        <v>22</v>
      </c>
      <c r="R70" s="1">
        <v>52</v>
      </c>
      <c r="S70" s="1">
        <v>99</v>
      </c>
      <c r="T70" s="1">
        <v>99</v>
      </c>
      <c r="U70" s="1">
        <v>200</v>
      </c>
      <c r="V70" s="1">
        <v>100</v>
      </c>
      <c r="W70" s="1">
        <v>120</v>
      </c>
      <c r="X70" s="1">
        <v>16</v>
      </c>
      <c r="Y70" s="1">
        <v>0</v>
      </c>
      <c r="Z70" s="1">
        <v>16</v>
      </c>
      <c r="AA70" s="1">
        <v>4</v>
      </c>
      <c r="AB70" s="1">
        <v>120</v>
      </c>
      <c r="AC70" s="1">
        <v>43</v>
      </c>
      <c r="AD70" s="1">
        <v>6</v>
      </c>
      <c r="AE70" s="1">
        <v>10</v>
      </c>
      <c r="AF70" s="1">
        <v>74</v>
      </c>
      <c r="AG70" s="1">
        <v>46</v>
      </c>
      <c r="AH70" s="1">
        <v>34</v>
      </c>
      <c r="AI70" s="1">
        <v>26</v>
      </c>
      <c r="AJ70" s="1">
        <v>23</v>
      </c>
      <c r="AK70" s="1">
        <v>5</v>
      </c>
      <c r="AL70" s="1">
        <v>6</v>
      </c>
      <c r="AM70" s="1">
        <v>8</v>
      </c>
      <c r="AN70" s="1">
        <v>19</v>
      </c>
      <c r="AO70" s="1">
        <v>35</v>
      </c>
      <c r="AP70" s="1">
        <v>7</v>
      </c>
      <c r="AQ70" s="1">
        <v>32</v>
      </c>
      <c r="AR70" s="1">
        <v>7</v>
      </c>
      <c r="AS70" s="1">
        <v>26</v>
      </c>
      <c r="AT70" s="1">
        <v>16</v>
      </c>
      <c r="AU70" s="1">
        <v>49</v>
      </c>
      <c r="AV70" s="1">
        <v>15</v>
      </c>
      <c r="AW70" s="1">
        <v>47</v>
      </c>
      <c r="AX70" s="1">
        <v>15</v>
      </c>
      <c r="AY70" s="1">
        <v>44</v>
      </c>
      <c r="AZ70" s="1">
        <v>7</v>
      </c>
      <c r="BA70" s="1">
        <v>8</v>
      </c>
      <c r="BB70" s="1">
        <v>9</v>
      </c>
      <c r="BC70" s="1">
        <v>24</v>
      </c>
      <c r="BD70" s="1">
        <v>53</v>
      </c>
      <c r="BE70" s="1">
        <v>9</v>
      </c>
      <c r="BF70" s="1">
        <v>50</v>
      </c>
      <c r="BG70" s="1">
        <v>11</v>
      </c>
      <c r="BH70" s="1">
        <v>11</v>
      </c>
      <c r="BI70" s="1">
        <v>12</v>
      </c>
      <c r="BJ70" s="1">
        <v>34</v>
      </c>
      <c r="BK70" s="1">
        <v>41</v>
      </c>
      <c r="BL70" s="1">
        <v>20</v>
      </c>
      <c r="BM70" s="1">
        <v>44</v>
      </c>
      <c r="BN70" s="1">
        <v>107</v>
      </c>
      <c r="BO70" s="1">
        <v>61</v>
      </c>
      <c r="BP70" s="1">
        <v>2.25</v>
      </c>
      <c r="BQ70" s="1">
        <v>1.27</v>
      </c>
      <c r="BR70" s="1">
        <v>0.84</v>
      </c>
      <c r="BS70" s="1">
        <v>1.45</v>
      </c>
      <c r="BT70" s="1">
        <v>27</v>
      </c>
      <c r="BU70" s="1">
        <v>8</v>
      </c>
      <c r="BV70" s="1">
        <v>68.760000000000005</v>
      </c>
      <c r="BW70" s="1">
        <v>10</v>
      </c>
      <c r="BX70" s="1">
        <v>45.02</v>
      </c>
      <c r="BY70" s="1">
        <v>530.4</v>
      </c>
      <c r="BZ70" s="1">
        <v>75.23</v>
      </c>
      <c r="CA70" s="1">
        <v>9.84</v>
      </c>
      <c r="CB70" s="1">
        <v>75.69</v>
      </c>
      <c r="CC70" s="1">
        <v>12.64</v>
      </c>
      <c r="CD70" s="1">
        <v>69.16</v>
      </c>
      <c r="CE70" s="1">
        <v>0.97</v>
      </c>
      <c r="CF70" s="1">
        <v>44.64</v>
      </c>
      <c r="CG70" s="1">
        <v>1.1000000000000001</v>
      </c>
      <c r="CH70" s="1">
        <v>52.15</v>
      </c>
      <c r="CI70" s="1">
        <v>3</v>
      </c>
      <c r="CJ70" s="1">
        <v>109.22</v>
      </c>
      <c r="CK70" s="1">
        <v>0.02</v>
      </c>
      <c r="CL70" s="1">
        <v>57.72</v>
      </c>
      <c r="CM70" s="1">
        <v>0.04</v>
      </c>
      <c r="CN70" s="1">
        <v>65.34</v>
      </c>
      <c r="CO70" s="1">
        <v>0.09</v>
      </c>
      <c r="CP70" s="1">
        <v>65.48</v>
      </c>
      <c r="CQ70" s="1">
        <v>-0.05</v>
      </c>
      <c r="CR70" s="1">
        <v>44.88</v>
      </c>
      <c r="CS70" s="1">
        <v>29</v>
      </c>
      <c r="CT70" s="1">
        <v>27</v>
      </c>
      <c r="CU70" s="1">
        <v>48</v>
      </c>
      <c r="CV70" s="1">
        <v>35</v>
      </c>
      <c r="CW70" s="1">
        <v>53</v>
      </c>
      <c r="CX70" s="1">
        <v>44</v>
      </c>
      <c r="CY70" s="1">
        <v>61</v>
      </c>
      <c r="CZ70" s="1">
        <v>37</v>
      </c>
      <c r="DA70" s="1">
        <v>0</v>
      </c>
    </row>
    <row r="71" spans="1:105" x14ac:dyDescent="0.15">
      <c r="A71" s="1" t="s">
        <v>34</v>
      </c>
      <c r="B71" s="1" t="s">
        <v>466</v>
      </c>
      <c r="C71" s="1">
        <v>1</v>
      </c>
      <c r="D71" s="1">
        <v>14</v>
      </c>
      <c r="E71" s="1">
        <v>35</v>
      </c>
      <c r="F71" s="1">
        <v>103</v>
      </c>
      <c r="G71" s="1">
        <v>105</v>
      </c>
      <c r="H71" s="1">
        <v>-2</v>
      </c>
      <c r="I71" s="1">
        <v>55</v>
      </c>
      <c r="J71" s="1">
        <v>47</v>
      </c>
      <c r="K71" s="1">
        <v>33</v>
      </c>
      <c r="L71" s="1">
        <v>45</v>
      </c>
      <c r="M71" s="1">
        <v>92</v>
      </c>
      <c r="N71" s="1">
        <v>94</v>
      </c>
      <c r="O71" s="1">
        <v>47</v>
      </c>
      <c r="P71" s="1">
        <v>54</v>
      </c>
      <c r="Q71" s="1">
        <v>25</v>
      </c>
      <c r="R71" s="1">
        <v>52</v>
      </c>
      <c r="S71" s="1">
        <v>106</v>
      </c>
      <c r="T71" s="1">
        <v>104</v>
      </c>
      <c r="U71" s="1">
        <v>198</v>
      </c>
      <c r="V71" s="1">
        <v>99</v>
      </c>
      <c r="W71" s="1">
        <v>120</v>
      </c>
      <c r="X71" s="1">
        <v>24</v>
      </c>
      <c r="Y71" s="1">
        <v>0</v>
      </c>
      <c r="Z71" s="1">
        <v>24</v>
      </c>
      <c r="AA71" s="1">
        <v>7</v>
      </c>
      <c r="AB71" s="1">
        <v>120</v>
      </c>
      <c r="AC71" s="1">
        <v>59</v>
      </c>
      <c r="AD71" s="1">
        <v>8</v>
      </c>
      <c r="AE71" s="1">
        <v>15</v>
      </c>
      <c r="AF71" s="1">
        <v>86</v>
      </c>
      <c r="AG71" s="1">
        <v>25</v>
      </c>
      <c r="AH71" s="1">
        <v>49</v>
      </c>
      <c r="AI71" s="1">
        <v>54</v>
      </c>
      <c r="AJ71" s="1">
        <v>41</v>
      </c>
      <c r="AK71" s="1">
        <v>5</v>
      </c>
      <c r="AL71" s="1">
        <v>7</v>
      </c>
      <c r="AM71" s="1">
        <v>10</v>
      </c>
      <c r="AN71" s="1">
        <v>22</v>
      </c>
      <c r="AO71" s="1">
        <v>36</v>
      </c>
      <c r="AP71" s="1">
        <v>9</v>
      </c>
      <c r="AQ71" s="1">
        <v>44</v>
      </c>
      <c r="AR71" s="1">
        <v>10</v>
      </c>
      <c r="AS71" s="1">
        <v>44</v>
      </c>
      <c r="AT71" s="1">
        <v>19</v>
      </c>
      <c r="AU71" s="1">
        <v>58</v>
      </c>
      <c r="AV71" s="1">
        <v>20</v>
      </c>
      <c r="AW71" s="1">
        <v>62</v>
      </c>
      <c r="AX71" s="1">
        <v>15</v>
      </c>
      <c r="AY71" s="1">
        <v>38</v>
      </c>
      <c r="AZ71" s="1">
        <v>4</v>
      </c>
      <c r="BA71" s="1">
        <v>7</v>
      </c>
      <c r="BB71" s="1">
        <v>8</v>
      </c>
      <c r="BC71" s="1">
        <v>19</v>
      </c>
      <c r="BD71" s="1">
        <v>35</v>
      </c>
      <c r="BE71" s="1">
        <v>9</v>
      </c>
      <c r="BF71" s="1">
        <v>43</v>
      </c>
      <c r="BG71" s="1">
        <v>10</v>
      </c>
      <c r="BH71" s="1">
        <v>6</v>
      </c>
      <c r="BI71" s="1">
        <v>14</v>
      </c>
      <c r="BJ71" s="1">
        <v>30</v>
      </c>
      <c r="BK71" s="1">
        <v>35</v>
      </c>
      <c r="BL71" s="1">
        <v>23</v>
      </c>
      <c r="BM71" s="1">
        <v>48</v>
      </c>
      <c r="BN71" s="1">
        <v>103</v>
      </c>
      <c r="BO71" s="1">
        <v>57</v>
      </c>
      <c r="BP71" s="1">
        <v>3.4</v>
      </c>
      <c r="BQ71" s="1">
        <v>2.95</v>
      </c>
      <c r="BR71" s="1">
        <v>0.67</v>
      </c>
      <c r="BS71" s="1">
        <v>2.34</v>
      </c>
      <c r="BT71" s="1">
        <v>40</v>
      </c>
      <c r="BU71" s="1">
        <v>0</v>
      </c>
      <c r="BV71" s="1">
        <v>44.87</v>
      </c>
      <c r="BW71" s="1">
        <v>2</v>
      </c>
      <c r="BX71" s="1">
        <v>36.57</v>
      </c>
      <c r="BY71" s="1">
        <v>430.42</v>
      </c>
      <c r="BZ71" s="1">
        <v>56.05</v>
      </c>
      <c r="CA71" s="1">
        <v>5.98</v>
      </c>
      <c r="CB71" s="1">
        <v>54.49</v>
      </c>
      <c r="CC71" s="1">
        <v>7.17</v>
      </c>
      <c r="CD71" s="1">
        <v>51.01</v>
      </c>
      <c r="CE71" s="1">
        <v>1.82</v>
      </c>
      <c r="CF71" s="1">
        <v>29.23</v>
      </c>
      <c r="CG71" s="1">
        <v>1.61</v>
      </c>
      <c r="CH71" s="1">
        <v>56.24</v>
      </c>
      <c r="CI71" s="1">
        <v>0</v>
      </c>
      <c r="CJ71" s="1">
        <v>46.79</v>
      </c>
      <c r="CK71" s="1">
        <v>0.01</v>
      </c>
      <c r="CL71" s="1">
        <v>51.44</v>
      </c>
      <c r="CM71" s="1">
        <v>-0.04</v>
      </c>
      <c r="CN71" s="1">
        <v>46.04</v>
      </c>
      <c r="CO71" s="1">
        <v>0.06</v>
      </c>
      <c r="CP71" s="1">
        <v>51.26</v>
      </c>
      <c r="CQ71" s="1">
        <v>0.02</v>
      </c>
      <c r="CR71" s="1">
        <v>49.94</v>
      </c>
      <c r="CS71" s="1">
        <v>45</v>
      </c>
      <c r="CT71" s="1">
        <v>40</v>
      </c>
      <c r="CU71" s="1">
        <v>62</v>
      </c>
      <c r="CV71" s="1">
        <v>36</v>
      </c>
      <c r="CW71" s="1">
        <v>35</v>
      </c>
      <c r="CX71" s="1">
        <v>38</v>
      </c>
      <c r="CY71" s="1">
        <v>57</v>
      </c>
      <c r="CZ71" s="1">
        <v>42</v>
      </c>
      <c r="DA71" s="1">
        <v>0</v>
      </c>
    </row>
    <row r="72" spans="1:105" x14ac:dyDescent="0.15">
      <c r="A72" s="1" t="s">
        <v>36</v>
      </c>
      <c r="B72" s="1" t="s">
        <v>467</v>
      </c>
      <c r="C72" s="1">
        <v>3</v>
      </c>
      <c r="D72" s="1">
        <v>11</v>
      </c>
      <c r="E72" s="1">
        <v>22</v>
      </c>
      <c r="F72" s="1">
        <v>83</v>
      </c>
      <c r="G72" s="1">
        <v>94</v>
      </c>
      <c r="H72" s="1">
        <v>-11</v>
      </c>
      <c r="I72" s="1">
        <v>48</v>
      </c>
      <c r="J72" s="1">
        <v>40</v>
      </c>
      <c r="K72" s="1">
        <v>36</v>
      </c>
      <c r="L72" s="1">
        <v>51</v>
      </c>
      <c r="M72" s="1">
        <v>91</v>
      </c>
      <c r="N72" s="1">
        <v>93</v>
      </c>
      <c r="O72" s="1">
        <v>38</v>
      </c>
      <c r="P72" s="1">
        <v>47</v>
      </c>
      <c r="Q72" s="1">
        <v>27</v>
      </c>
      <c r="R72" s="1">
        <v>54</v>
      </c>
      <c r="S72" s="1">
        <v>101</v>
      </c>
      <c r="T72" s="1">
        <v>100</v>
      </c>
      <c r="U72" s="1">
        <v>192</v>
      </c>
      <c r="V72" s="1">
        <v>97</v>
      </c>
      <c r="W72" s="1">
        <v>120</v>
      </c>
      <c r="X72" s="1">
        <v>19</v>
      </c>
      <c r="Y72" s="1">
        <v>1</v>
      </c>
      <c r="Z72" s="1">
        <v>18</v>
      </c>
      <c r="AA72" s="1">
        <v>5</v>
      </c>
      <c r="AB72" s="1">
        <v>120</v>
      </c>
      <c r="AC72" s="1">
        <v>33</v>
      </c>
      <c r="AD72" s="1">
        <v>3</v>
      </c>
      <c r="AE72" s="1">
        <v>8</v>
      </c>
      <c r="AF72" s="1">
        <v>68</v>
      </c>
      <c r="AG72" s="1">
        <v>42</v>
      </c>
      <c r="AH72" s="1">
        <v>31</v>
      </c>
      <c r="AI72" s="1">
        <v>40</v>
      </c>
      <c r="AJ72" s="1">
        <v>29</v>
      </c>
      <c r="AK72" s="1">
        <v>4</v>
      </c>
      <c r="AL72" s="1">
        <v>9</v>
      </c>
      <c r="AM72" s="1">
        <v>8</v>
      </c>
      <c r="AN72" s="1">
        <v>21</v>
      </c>
      <c r="AO72" s="1">
        <v>36</v>
      </c>
      <c r="AP72" s="1">
        <v>9</v>
      </c>
      <c r="AQ72" s="1">
        <v>44</v>
      </c>
      <c r="AR72" s="1">
        <v>12</v>
      </c>
      <c r="AS72" s="1">
        <v>58</v>
      </c>
      <c r="AT72" s="1">
        <v>13</v>
      </c>
      <c r="AU72" s="1">
        <v>34</v>
      </c>
      <c r="AV72" s="1">
        <v>9</v>
      </c>
      <c r="AW72" s="1">
        <v>27</v>
      </c>
      <c r="AX72" s="1">
        <v>18</v>
      </c>
      <c r="AY72" s="1">
        <v>39</v>
      </c>
      <c r="AZ72" s="1">
        <v>2</v>
      </c>
      <c r="BA72" s="1">
        <v>7</v>
      </c>
      <c r="BB72" s="1">
        <v>8</v>
      </c>
      <c r="BC72" s="1">
        <v>17</v>
      </c>
      <c r="BD72" s="1">
        <v>31</v>
      </c>
      <c r="BE72" s="1">
        <v>7</v>
      </c>
      <c r="BF72" s="1">
        <v>29</v>
      </c>
      <c r="BG72" s="1">
        <v>8</v>
      </c>
      <c r="BH72" s="1">
        <v>9</v>
      </c>
      <c r="BI72" s="1">
        <v>14</v>
      </c>
      <c r="BJ72" s="1">
        <v>31</v>
      </c>
      <c r="BK72" s="1">
        <v>41</v>
      </c>
      <c r="BL72" s="1">
        <v>11</v>
      </c>
      <c r="BM72" s="1">
        <v>26</v>
      </c>
      <c r="BN72" s="1">
        <v>91</v>
      </c>
      <c r="BO72" s="1">
        <v>45</v>
      </c>
      <c r="BP72" s="1">
        <v>3.4</v>
      </c>
      <c r="BQ72" s="1">
        <v>2.81</v>
      </c>
      <c r="BR72" s="1">
        <v>0.92</v>
      </c>
      <c r="BS72" s="1">
        <v>2.38</v>
      </c>
      <c r="BT72" s="1">
        <v>39</v>
      </c>
      <c r="BU72" s="1">
        <v>0</v>
      </c>
      <c r="BV72" s="1">
        <v>40.86</v>
      </c>
      <c r="BW72" s="1">
        <v>13</v>
      </c>
      <c r="BX72" s="1">
        <v>48.31</v>
      </c>
      <c r="BY72" s="1">
        <v>362.57</v>
      </c>
      <c r="BZ72" s="1">
        <v>47.35</v>
      </c>
      <c r="CA72" s="1">
        <v>4.9400000000000004</v>
      </c>
      <c r="CB72" s="1">
        <v>48.02</v>
      </c>
      <c r="CC72" s="1">
        <v>10.64</v>
      </c>
      <c r="CD72" s="1">
        <v>57.6</v>
      </c>
      <c r="CE72" s="1">
        <v>0.59</v>
      </c>
      <c r="CF72" s="1">
        <v>51.49</v>
      </c>
      <c r="CG72" s="1">
        <v>0</v>
      </c>
      <c r="CH72" s="1">
        <v>41.82</v>
      </c>
      <c r="CI72" s="1">
        <v>1</v>
      </c>
      <c r="CJ72" s="1">
        <v>50.91</v>
      </c>
      <c r="CK72" s="1">
        <v>-0.01</v>
      </c>
      <c r="CL72" s="1">
        <v>44.46</v>
      </c>
      <c r="CM72" s="1">
        <v>-0.2</v>
      </c>
      <c r="CN72" s="1">
        <v>23.97</v>
      </c>
      <c r="CO72" s="1">
        <v>0.06</v>
      </c>
      <c r="CP72" s="1">
        <v>53.42</v>
      </c>
      <c r="CQ72" s="1">
        <v>0.22</v>
      </c>
      <c r="CR72" s="1">
        <v>68.099999999999994</v>
      </c>
      <c r="CS72" s="1">
        <v>21</v>
      </c>
      <c r="CT72" s="1">
        <v>39</v>
      </c>
      <c r="CU72" s="1">
        <v>26</v>
      </c>
      <c r="CV72" s="1">
        <v>36</v>
      </c>
      <c r="CW72" s="1">
        <v>31</v>
      </c>
      <c r="CX72" s="1">
        <v>39</v>
      </c>
      <c r="CY72" s="1">
        <v>45</v>
      </c>
      <c r="CZ72" s="1">
        <v>24</v>
      </c>
      <c r="DA72" s="1">
        <v>0</v>
      </c>
    </row>
    <row r="73" spans="1:105" x14ac:dyDescent="0.15">
      <c r="A73" s="1" t="s">
        <v>42</v>
      </c>
      <c r="B73" s="1" t="s">
        <v>467</v>
      </c>
      <c r="C73" s="1">
        <v>3</v>
      </c>
      <c r="D73" s="1">
        <v>13</v>
      </c>
      <c r="E73" s="1">
        <v>32</v>
      </c>
      <c r="F73" s="1">
        <v>98</v>
      </c>
      <c r="G73" s="1">
        <v>102</v>
      </c>
      <c r="H73" s="1">
        <v>-4</v>
      </c>
      <c r="I73" s="1">
        <v>46</v>
      </c>
      <c r="J73" s="1">
        <v>39</v>
      </c>
      <c r="K73" s="1">
        <v>33</v>
      </c>
      <c r="L73" s="1">
        <v>46</v>
      </c>
      <c r="M73" s="1">
        <v>85</v>
      </c>
      <c r="N73" s="1">
        <v>88</v>
      </c>
      <c r="O73" s="1">
        <v>41</v>
      </c>
      <c r="P73" s="1">
        <v>49</v>
      </c>
      <c r="Q73" s="1">
        <v>31</v>
      </c>
      <c r="R73" s="1">
        <v>61</v>
      </c>
      <c r="S73" s="1">
        <v>110</v>
      </c>
      <c r="T73" s="1">
        <v>107</v>
      </c>
      <c r="U73" s="1">
        <v>195</v>
      </c>
      <c r="V73" s="1">
        <v>98</v>
      </c>
      <c r="W73" s="1">
        <v>120</v>
      </c>
      <c r="X73" s="1">
        <v>29</v>
      </c>
      <c r="Y73" s="1">
        <v>1</v>
      </c>
      <c r="Z73" s="1">
        <v>28</v>
      </c>
      <c r="AA73" s="1">
        <v>8</v>
      </c>
      <c r="AB73" s="1">
        <v>120</v>
      </c>
      <c r="AC73" s="1">
        <v>76</v>
      </c>
      <c r="AD73" s="1">
        <v>11</v>
      </c>
      <c r="AE73" s="1">
        <v>19</v>
      </c>
      <c r="AF73" s="1">
        <v>97</v>
      </c>
      <c r="AG73" s="1">
        <v>27</v>
      </c>
      <c r="AH73" s="1">
        <v>44</v>
      </c>
      <c r="AI73" s="1">
        <v>51</v>
      </c>
      <c r="AJ73" s="1">
        <v>34</v>
      </c>
      <c r="AK73" s="1">
        <v>4</v>
      </c>
      <c r="AL73" s="1">
        <v>10</v>
      </c>
      <c r="AM73" s="1">
        <v>9</v>
      </c>
      <c r="AN73" s="1">
        <v>23</v>
      </c>
      <c r="AO73" s="1">
        <v>37</v>
      </c>
      <c r="AP73" s="1">
        <v>5</v>
      </c>
      <c r="AQ73" s="1">
        <v>20</v>
      </c>
      <c r="AR73" s="1">
        <v>10</v>
      </c>
      <c r="AS73" s="1">
        <v>44</v>
      </c>
      <c r="AT73" s="1">
        <v>21</v>
      </c>
      <c r="AU73" s="1">
        <v>62</v>
      </c>
      <c r="AV73" s="1">
        <v>13</v>
      </c>
      <c r="AW73" s="1">
        <v>40</v>
      </c>
      <c r="AX73" s="1">
        <v>21</v>
      </c>
      <c r="AY73" s="1">
        <v>44</v>
      </c>
      <c r="AZ73" s="1">
        <v>4</v>
      </c>
      <c r="BA73" s="1">
        <v>6</v>
      </c>
      <c r="BB73" s="1">
        <v>9</v>
      </c>
      <c r="BC73" s="1">
        <v>19</v>
      </c>
      <c r="BD73" s="1">
        <v>30</v>
      </c>
      <c r="BE73" s="1">
        <v>8</v>
      </c>
      <c r="BF73" s="1">
        <v>30</v>
      </c>
      <c r="BG73" s="1">
        <v>12</v>
      </c>
      <c r="BH73" s="1">
        <v>11</v>
      </c>
      <c r="BI73" s="1">
        <v>9</v>
      </c>
      <c r="BJ73" s="1">
        <v>32</v>
      </c>
      <c r="BK73" s="1">
        <v>35</v>
      </c>
      <c r="BL73" s="1">
        <v>16</v>
      </c>
      <c r="BM73" s="1">
        <v>35</v>
      </c>
      <c r="BN73" s="1">
        <v>87</v>
      </c>
      <c r="BO73" s="1">
        <v>40</v>
      </c>
      <c r="BP73" s="1">
        <v>4.24</v>
      </c>
      <c r="BQ73" s="1">
        <v>2.61</v>
      </c>
      <c r="BR73" s="1">
        <v>0.73</v>
      </c>
      <c r="BS73" s="1">
        <v>2.5300000000000002</v>
      </c>
      <c r="BT73" s="1">
        <v>42</v>
      </c>
      <c r="BU73" s="1">
        <v>4</v>
      </c>
      <c r="BV73" s="1">
        <v>54.66</v>
      </c>
      <c r="BW73" s="1">
        <v>10</v>
      </c>
      <c r="BX73" s="1">
        <v>48.94</v>
      </c>
      <c r="BY73" s="1">
        <v>387.42</v>
      </c>
      <c r="BZ73" s="1">
        <v>49.12</v>
      </c>
      <c r="CA73" s="1">
        <v>7.1</v>
      </c>
      <c r="CB73" s="1">
        <v>60.35</v>
      </c>
      <c r="CC73" s="1">
        <v>10.61</v>
      </c>
      <c r="CD73" s="1">
        <v>58.85</v>
      </c>
      <c r="CE73" s="1">
        <v>0.87</v>
      </c>
      <c r="CF73" s="1">
        <v>50.3</v>
      </c>
      <c r="CG73" s="1">
        <v>0.01</v>
      </c>
      <c r="CH73" s="1">
        <v>43.49</v>
      </c>
      <c r="CI73" s="1">
        <v>0</v>
      </c>
      <c r="CJ73" s="1">
        <v>46.79</v>
      </c>
      <c r="CK73" s="1">
        <v>-0.02</v>
      </c>
      <c r="CL73" s="1">
        <v>41.34</v>
      </c>
      <c r="CM73" s="1">
        <v>-0.1</v>
      </c>
      <c r="CN73" s="1">
        <v>38.58</v>
      </c>
      <c r="CO73" s="1">
        <v>0.05</v>
      </c>
      <c r="CP73" s="1">
        <v>47.03</v>
      </c>
      <c r="CQ73" s="1">
        <v>0.01</v>
      </c>
      <c r="CR73" s="1">
        <v>48.34</v>
      </c>
      <c r="CS73" s="1">
        <v>33</v>
      </c>
      <c r="CT73" s="1">
        <v>42</v>
      </c>
      <c r="CU73" s="1">
        <v>51</v>
      </c>
      <c r="CV73" s="1">
        <v>37</v>
      </c>
      <c r="CW73" s="1">
        <v>30</v>
      </c>
      <c r="CX73" s="1">
        <v>44</v>
      </c>
      <c r="CY73" s="1">
        <v>40</v>
      </c>
      <c r="CZ73" s="1">
        <v>33</v>
      </c>
      <c r="DA73" s="1">
        <v>0</v>
      </c>
    </row>
    <row r="74" spans="1:105" x14ac:dyDescent="0.15">
      <c r="A74" s="1" t="s">
        <v>46</v>
      </c>
      <c r="B74" s="1" t="s">
        <v>468</v>
      </c>
      <c r="C74" s="1">
        <v>1</v>
      </c>
      <c r="D74" s="1">
        <v>13</v>
      </c>
      <c r="E74" s="1">
        <v>35</v>
      </c>
      <c r="F74" s="1">
        <v>104</v>
      </c>
      <c r="G74" s="1">
        <v>105</v>
      </c>
      <c r="H74" s="1">
        <v>-1</v>
      </c>
      <c r="I74" s="1">
        <v>60</v>
      </c>
      <c r="J74" s="1">
        <v>53</v>
      </c>
      <c r="K74" s="1">
        <v>35</v>
      </c>
      <c r="L74" s="1">
        <v>53</v>
      </c>
      <c r="M74" s="1">
        <v>106</v>
      </c>
      <c r="N74" s="1">
        <v>105</v>
      </c>
      <c r="O74" s="1">
        <v>29</v>
      </c>
      <c r="P74" s="1">
        <v>47</v>
      </c>
      <c r="Q74" s="1">
        <v>22</v>
      </c>
      <c r="R74" s="1">
        <v>55</v>
      </c>
      <c r="S74" s="1">
        <v>102</v>
      </c>
      <c r="T74" s="1">
        <v>101</v>
      </c>
      <c r="U74" s="1">
        <v>208</v>
      </c>
      <c r="V74" s="1">
        <v>103</v>
      </c>
      <c r="W74" s="1">
        <v>120</v>
      </c>
      <c r="X74" s="1">
        <v>19</v>
      </c>
      <c r="Y74" s="1">
        <v>1</v>
      </c>
      <c r="Z74" s="1">
        <v>18</v>
      </c>
      <c r="AA74" s="1">
        <v>6</v>
      </c>
      <c r="AB74" s="1">
        <v>120</v>
      </c>
      <c r="AC74" s="1">
        <v>39</v>
      </c>
      <c r="AD74" s="1">
        <v>6</v>
      </c>
      <c r="AE74" s="1">
        <v>12</v>
      </c>
      <c r="AF74" s="1">
        <v>79</v>
      </c>
      <c r="AG74" s="1">
        <v>72</v>
      </c>
      <c r="AH74" s="1">
        <v>22</v>
      </c>
      <c r="AI74" s="1">
        <v>37</v>
      </c>
      <c r="AJ74" s="1">
        <v>34</v>
      </c>
      <c r="AK74" s="1">
        <v>5</v>
      </c>
      <c r="AL74" s="1">
        <v>11</v>
      </c>
      <c r="AM74" s="1">
        <v>11</v>
      </c>
      <c r="AN74" s="1">
        <v>27</v>
      </c>
      <c r="AO74" s="1">
        <v>46</v>
      </c>
      <c r="AP74" s="1">
        <v>11</v>
      </c>
      <c r="AQ74" s="1">
        <v>55</v>
      </c>
      <c r="AR74" s="1">
        <v>11</v>
      </c>
      <c r="AS74" s="1">
        <v>51</v>
      </c>
      <c r="AT74" s="1">
        <v>14</v>
      </c>
      <c r="AU74" s="1">
        <v>48</v>
      </c>
      <c r="AV74" s="1">
        <v>16</v>
      </c>
      <c r="AW74" s="1">
        <v>53</v>
      </c>
      <c r="AX74" s="1">
        <v>9</v>
      </c>
      <c r="AY74" s="1">
        <v>42</v>
      </c>
      <c r="AZ74" s="1">
        <v>2</v>
      </c>
      <c r="BA74" s="1">
        <v>8</v>
      </c>
      <c r="BB74" s="1">
        <v>10</v>
      </c>
      <c r="BC74" s="1">
        <v>20</v>
      </c>
      <c r="BD74" s="1">
        <v>48</v>
      </c>
      <c r="BE74" s="1">
        <v>10</v>
      </c>
      <c r="BF74" s="1">
        <v>56</v>
      </c>
      <c r="BG74" s="1">
        <v>16</v>
      </c>
      <c r="BH74" s="1">
        <v>14</v>
      </c>
      <c r="BI74" s="1">
        <v>13</v>
      </c>
      <c r="BJ74" s="1">
        <v>43</v>
      </c>
      <c r="BK74" s="1">
        <v>47</v>
      </c>
      <c r="BL74" s="1">
        <v>27</v>
      </c>
      <c r="BM74" s="1">
        <v>58</v>
      </c>
      <c r="BN74" s="1">
        <v>75</v>
      </c>
      <c r="BO74" s="1">
        <v>22</v>
      </c>
      <c r="BP74" s="1">
        <v>9999</v>
      </c>
      <c r="BQ74" s="1">
        <v>9999</v>
      </c>
      <c r="BR74" s="1">
        <v>9999</v>
      </c>
      <c r="BS74" s="1">
        <v>9999</v>
      </c>
      <c r="BT74" s="1">
        <v>9999</v>
      </c>
      <c r="BU74" s="1">
        <v>0</v>
      </c>
      <c r="BV74" s="1">
        <v>42.93</v>
      </c>
      <c r="BW74" s="1">
        <v>3</v>
      </c>
      <c r="BX74" s="1">
        <v>38.43</v>
      </c>
      <c r="BY74" s="1">
        <v>481.93</v>
      </c>
      <c r="BZ74" s="1">
        <v>61.8</v>
      </c>
      <c r="CA74" s="1">
        <v>5.81</v>
      </c>
      <c r="CB74" s="1">
        <v>54.57</v>
      </c>
      <c r="CC74" s="1">
        <v>6.1</v>
      </c>
      <c r="CD74" s="1">
        <v>47.87</v>
      </c>
      <c r="CE74" s="1">
        <v>1.35</v>
      </c>
      <c r="CF74" s="1">
        <v>38.880000000000003</v>
      </c>
      <c r="CG74" s="1">
        <v>0.74</v>
      </c>
      <c r="CH74" s="1">
        <v>48.53</v>
      </c>
      <c r="CI74" s="1">
        <v>0</v>
      </c>
      <c r="CJ74" s="1">
        <v>45.52</v>
      </c>
      <c r="CK74" s="1">
        <v>0.02</v>
      </c>
      <c r="CL74" s="1">
        <v>56.45</v>
      </c>
      <c r="CM74" s="1">
        <v>0.01</v>
      </c>
      <c r="CN74" s="1">
        <v>53.87</v>
      </c>
      <c r="CO74" s="1">
        <v>0.05</v>
      </c>
      <c r="CP74" s="1">
        <v>59.09</v>
      </c>
      <c r="CQ74" s="1">
        <v>0.03</v>
      </c>
      <c r="CR74" s="1">
        <v>56.56</v>
      </c>
      <c r="CS74" s="1">
        <v>34</v>
      </c>
      <c r="CT74" s="1">
        <v>9999</v>
      </c>
      <c r="CU74" s="1">
        <v>51</v>
      </c>
      <c r="CV74" s="1">
        <v>46</v>
      </c>
      <c r="CW74" s="1">
        <v>48</v>
      </c>
      <c r="CX74" s="1">
        <v>42</v>
      </c>
      <c r="CY74" s="1">
        <v>22</v>
      </c>
      <c r="CZ74" s="1">
        <v>9999</v>
      </c>
      <c r="DA74" s="1">
        <v>0</v>
      </c>
    </row>
    <row r="75" spans="1:105" x14ac:dyDescent="0.15">
      <c r="A75" s="1" t="s">
        <v>44</v>
      </c>
      <c r="B75" s="1" t="s">
        <v>469</v>
      </c>
      <c r="C75" s="1">
        <v>1</v>
      </c>
      <c r="D75" s="1">
        <v>20</v>
      </c>
      <c r="E75" s="1">
        <v>37</v>
      </c>
      <c r="F75" s="1">
        <v>107</v>
      </c>
      <c r="G75" s="1">
        <v>116</v>
      </c>
      <c r="H75" s="1">
        <v>-9</v>
      </c>
      <c r="I75" s="1">
        <v>54</v>
      </c>
      <c r="J75" s="1">
        <v>48</v>
      </c>
      <c r="K75" s="1">
        <v>28</v>
      </c>
      <c r="L75" s="1">
        <v>44</v>
      </c>
      <c r="M75" s="1">
        <v>92</v>
      </c>
      <c r="N75" s="1">
        <v>94</v>
      </c>
      <c r="O75" s="1">
        <v>2</v>
      </c>
      <c r="P75" s="1">
        <v>27</v>
      </c>
      <c r="Q75" s="1">
        <v>4</v>
      </c>
      <c r="R75" s="1">
        <v>27</v>
      </c>
      <c r="S75" s="1">
        <v>54</v>
      </c>
      <c r="T75" s="1">
        <v>66</v>
      </c>
      <c r="U75" s="1">
        <v>146</v>
      </c>
      <c r="V75" s="1">
        <v>78</v>
      </c>
      <c r="W75" s="1">
        <v>120</v>
      </c>
      <c r="X75" s="1">
        <v>5</v>
      </c>
      <c r="Y75" s="1">
        <v>5</v>
      </c>
      <c r="Z75" s="1">
        <v>0</v>
      </c>
      <c r="AA75" s="1">
        <v>1</v>
      </c>
      <c r="AB75" s="1">
        <v>120</v>
      </c>
      <c r="AC75" s="1">
        <v>2</v>
      </c>
      <c r="AD75" s="1">
        <v>1</v>
      </c>
      <c r="AE75" s="1">
        <v>2</v>
      </c>
      <c r="AF75" s="1">
        <v>50</v>
      </c>
      <c r="AG75" s="1">
        <v>8888</v>
      </c>
      <c r="AH75" s="1">
        <v>8888</v>
      </c>
      <c r="AI75" s="1">
        <v>11</v>
      </c>
      <c r="AJ75" s="1">
        <v>9</v>
      </c>
      <c r="AK75" s="1">
        <v>4</v>
      </c>
      <c r="AL75" s="1">
        <v>5</v>
      </c>
      <c r="AM75" s="1">
        <v>6</v>
      </c>
      <c r="AN75" s="1">
        <v>15</v>
      </c>
      <c r="AO75" s="1">
        <v>30</v>
      </c>
      <c r="AP75" s="1">
        <v>7</v>
      </c>
      <c r="AQ75" s="1">
        <v>33</v>
      </c>
      <c r="AR75" s="1">
        <v>8</v>
      </c>
      <c r="AS75" s="1">
        <v>30</v>
      </c>
      <c r="AT75" s="1">
        <v>5</v>
      </c>
      <c r="AU75" s="1">
        <v>14</v>
      </c>
      <c r="AV75" s="1">
        <v>4</v>
      </c>
      <c r="AW75" s="1">
        <v>15</v>
      </c>
      <c r="AX75" s="1">
        <v>1</v>
      </c>
      <c r="AY75" s="1">
        <v>32</v>
      </c>
      <c r="AZ75" s="1">
        <v>2</v>
      </c>
      <c r="BA75" s="1">
        <v>5</v>
      </c>
      <c r="BB75" s="1">
        <v>4</v>
      </c>
      <c r="BC75" s="1">
        <v>11</v>
      </c>
      <c r="BD75" s="1">
        <v>32</v>
      </c>
      <c r="BE75" s="1">
        <v>4</v>
      </c>
      <c r="BF75" s="1">
        <v>27</v>
      </c>
      <c r="BG75" s="1">
        <v>13</v>
      </c>
      <c r="BH75" s="1">
        <v>9</v>
      </c>
      <c r="BI75" s="1">
        <v>11</v>
      </c>
      <c r="BJ75" s="1">
        <v>33</v>
      </c>
      <c r="BK75" s="1">
        <v>31</v>
      </c>
      <c r="BL75" s="1">
        <v>11</v>
      </c>
      <c r="BM75" s="1">
        <v>28</v>
      </c>
      <c r="BN75" s="1">
        <v>81</v>
      </c>
      <c r="BO75" s="1">
        <v>30</v>
      </c>
      <c r="BP75" s="1">
        <v>1.4</v>
      </c>
      <c r="BQ75" s="1">
        <v>0.98</v>
      </c>
      <c r="BR75" s="1">
        <v>-0.17</v>
      </c>
      <c r="BS75" s="1">
        <v>0.74</v>
      </c>
      <c r="BT75" s="1">
        <v>17</v>
      </c>
      <c r="BU75" s="1">
        <v>5</v>
      </c>
      <c r="BV75" s="1">
        <v>58.76</v>
      </c>
      <c r="BW75" s="1">
        <v>27</v>
      </c>
      <c r="BX75" s="1">
        <v>64.819999999999993</v>
      </c>
      <c r="BY75" s="1">
        <v>325.99</v>
      </c>
      <c r="BZ75" s="1">
        <v>36.76</v>
      </c>
      <c r="CA75" s="1">
        <v>5</v>
      </c>
      <c r="CB75" s="1">
        <v>49.22</v>
      </c>
      <c r="CC75" s="1">
        <v>9.4600000000000009</v>
      </c>
      <c r="CD75" s="1">
        <v>61.8</v>
      </c>
      <c r="CE75" s="1">
        <v>0.15</v>
      </c>
      <c r="CF75" s="1">
        <v>60.76</v>
      </c>
      <c r="CG75" s="1">
        <v>0.36</v>
      </c>
      <c r="CH75" s="1">
        <v>46.85</v>
      </c>
      <c r="CI75" s="1">
        <v>0</v>
      </c>
      <c r="CJ75" s="1">
        <v>45.77</v>
      </c>
      <c r="CK75" s="1">
        <v>-0.01</v>
      </c>
      <c r="CL75" s="1">
        <v>46.66</v>
      </c>
      <c r="CM75" s="1">
        <v>-0.13</v>
      </c>
      <c r="CN75" s="1">
        <v>33.35</v>
      </c>
      <c r="CO75" s="1">
        <v>0.01</v>
      </c>
      <c r="CP75" s="1">
        <v>37.700000000000003</v>
      </c>
      <c r="CQ75" s="1">
        <v>-0.13</v>
      </c>
      <c r="CR75" s="1">
        <v>36.81</v>
      </c>
      <c r="CS75" s="1">
        <v>12</v>
      </c>
      <c r="CT75" s="1">
        <v>17</v>
      </c>
      <c r="CU75" s="1">
        <v>7</v>
      </c>
      <c r="CV75" s="1">
        <v>30</v>
      </c>
      <c r="CW75" s="1">
        <v>32</v>
      </c>
      <c r="CX75" s="1">
        <v>32</v>
      </c>
      <c r="CY75" s="1">
        <v>30</v>
      </c>
      <c r="CZ75" s="1">
        <v>6</v>
      </c>
      <c r="DA75" s="1">
        <v>0</v>
      </c>
    </row>
    <row r="76" spans="1:105" x14ac:dyDescent="0.15">
      <c r="A76" s="1" t="s">
        <v>39</v>
      </c>
      <c r="B76" s="1" t="s">
        <v>470</v>
      </c>
      <c r="C76" s="1">
        <v>1</v>
      </c>
      <c r="D76" s="1">
        <v>12</v>
      </c>
      <c r="E76" s="1">
        <v>42</v>
      </c>
      <c r="F76" s="1">
        <v>113</v>
      </c>
      <c r="G76" s="1">
        <v>99</v>
      </c>
      <c r="H76" s="1">
        <v>14</v>
      </c>
      <c r="I76" s="1">
        <v>52</v>
      </c>
      <c r="J76" s="1">
        <v>43</v>
      </c>
      <c r="K76" s="1">
        <v>36</v>
      </c>
      <c r="L76" s="1">
        <v>50</v>
      </c>
      <c r="M76" s="1">
        <v>93</v>
      </c>
      <c r="N76" s="1">
        <v>95</v>
      </c>
      <c r="O76" s="1">
        <v>56</v>
      </c>
      <c r="P76" s="1">
        <v>60</v>
      </c>
      <c r="Q76" s="1">
        <v>31</v>
      </c>
      <c r="R76" s="1">
        <v>64</v>
      </c>
      <c r="S76" s="1">
        <v>124</v>
      </c>
      <c r="T76" s="1">
        <v>120</v>
      </c>
      <c r="U76" s="1">
        <v>217</v>
      </c>
      <c r="V76" s="1">
        <v>107</v>
      </c>
      <c r="W76" s="1">
        <v>120</v>
      </c>
      <c r="X76" s="1">
        <v>26</v>
      </c>
      <c r="Y76" s="1">
        <v>0</v>
      </c>
      <c r="Z76" s="1">
        <v>26</v>
      </c>
      <c r="AA76" s="1">
        <v>8</v>
      </c>
      <c r="AB76" s="1">
        <v>120</v>
      </c>
      <c r="AC76" s="1">
        <v>51</v>
      </c>
      <c r="AD76" s="1">
        <v>7</v>
      </c>
      <c r="AE76" s="1">
        <v>15</v>
      </c>
      <c r="AF76" s="1">
        <v>86</v>
      </c>
      <c r="AG76" s="1">
        <v>22</v>
      </c>
      <c r="AH76" s="1">
        <v>55</v>
      </c>
      <c r="AI76" s="1">
        <v>41</v>
      </c>
      <c r="AJ76" s="1">
        <v>35</v>
      </c>
      <c r="AK76" s="1">
        <v>2</v>
      </c>
      <c r="AL76" s="1">
        <v>6</v>
      </c>
      <c r="AM76" s="1">
        <v>7</v>
      </c>
      <c r="AN76" s="1">
        <v>15</v>
      </c>
      <c r="AO76" s="1">
        <v>29</v>
      </c>
      <c r="AP76" s="1">
        <v>5</v>
      </c>
      <c r="AQ76" s="1">
        <v>25</v>
      </c>
      <c r="AR76" s="1">
        <v>8</v>
      </c>
      <c r="AS76" s="1">
        <v>20</v>
      </c>
      <c r="AT76" s="1">
        <v>17</v>
      </c>
      <c r="AU76" s="1">
        <v>50</v>
      </c>
      <c r="AV76" s="1">
        <v>17</v>
      </c>
      <c r="AW76" s="1">
        <v>52</v>
      </c>
      <c r="AX76" s="1">
        <v>14</v>
      </c>
      <c r="AY76" s="1">
        <v>38</v>
      </c>
      <c r="AZ76" s="1">
        <v>4</v>
      </c>
      <c r="BA76" s="1">
        <v>5</v>
      </c>
      <c r="BB76" s="1">
        <v>10</v>
      </c>
      <c r="BC76" s="1">
        <v>19</v>
      </c>
      <c r="BD76" s="1">
        <v>40</v>
      </c>
      <c r="BE76" s="1">
        <v>9</v>
      </c>
      <c r="BF76" s="1">
        <v>47</v>
      </c>
      <c r="BG76" s="1">
        <v>9</v>
      </c>
      <c r="BH76" s="1">
        <v>10</v>
      </c>
      <c r="BI76" s="1">
        <v>11</v>
      </c>
      <c r="BJ76" s="1">
        <v>30</v>
      </c>
      <c r="BK76" s="1">
        <v>39</v>
      </c>
      <c r="BL76" s="1">
        <v>25</v>
      </c>
      <c r="BM76" s="1">
        <v>53</v>
      </c>
      <c r="BN76" s="1">
        <v>93</v>
      </c>
      <c r="BO76" s="1">
        <v>46</v>
      </c>
      <c r="BP76" s="1">
        <v>3.96</v>
      </c>
      <c r="BQ76" s="1">
        <v>3.4</v>
      </c>
      <c r="BR76" s="1">
        <v>2.96</v>
      </c>
      <c r="BS76" s="1">
        <v>3.44</v>
      </c>
      <c r="BT76" s="1">
        <v>56</v>
      </c>
      <c r="BU76" s="1">
        <v>3</v>
      </c>
      <c r="BV76" s="1">
        <v>52.07</v>
      </c>
      <c r="BW76" s="1">
        <v>16</v>
      </c>
      <c r="BX76" s="1">
        <v>52.54</v>
      </c>
      <c r="BY76" s="1">
        <v>351.83</v>
      </c>
      <c r="BZ76" s="1">
        <v>42.79</v>
      </c>
      <c r="CA76" s="1">
        <v>4.9400000000000004</v>
      </c>
      <c r="CB76" s="1">
        <v>48.82</v>
      </c>
      <c r="CC76" s="1">
        <v>7.36</v>
      </c>
      <c r="CD76" s="1">
        <v>55.42</v>
      </c>
      <c r="CE76" s="1">
        <v>0.76</v>
      </c>
      <c r="CF76" s="1">
        <v>48.72</v>
      </c>
      <c r="CG76" s="1">
        <v>0.26</v>
      </c>
      <c r="CH76" s="1">
        <v>46.17</v>
      </c>
      <c r="CI76" s="1">
        <v>0</v>
      </c>
      <c r="CJ76" s="1">
        <v>45.77</v>
      </c>
      <c r="CK76" s="1">
        <v>-0.01</v>
      </c>
      <c r="CL76" s="1">
        <v>44.91</v>
      </c>
      <c r="CM76" s="1">
        <v>0.01</v>
      </c>
      <c r="CN76" s="1">
        <v>58.67</v>
      </c>
      <c r="CO76" s="1">
        <v>0.05</v>
      </c>
      <c r="CP76" s="1">
        <v>49.88</v>
      </c>
      <c r="CQ76" s="1">
        <v>0.09</v>
      </c>
      <c r="CR76" s="1">
        <v>60.57</v>
      </c>
      <c r="CS76" s="1">
        <v>47</v>
      </c>
      <c r="CT76" s="1">
        <v>56</v>
      </c>
      <c r="CU76" s="1">
        <v>51</v>
      </c>
      <c r="CV76" s="1">
        <v>29</v>
      </c>
      <c r="CW76" s="1">
        <v>40</v>
      </c>
      <c r="CX76" s="1">
        <v>38</v>
      </c>
      <c r="CY76" s="1">
        <v>46</v>
      </c>
      <c r="CZ76" s="1">
        <v>40</v>
      </c>
      <c r="DA76" s="1">
        <v>0</v>
      </c>
    </row>
    <row r="77" spans="1:105" x14ac:dyDescent="0.15">
      <c r="A77" s="1" t="s">
        <v>48</v>
      </c>
      <c r="B77" s="1" t="s">
        <v>200</v>
      </c>
      <c r="C77" s="1">
        <v>3</v>
      </c>
      <c r="D77" s="1">
        <v>13</v>
      </c>
      <c r="E77" s="1">
        <v>30</v>
      </c>
      <c r="F77" s="1">
        <v>95</v>
      </c>
      <c r="G77" s="1">
        <v>102</v>
      </c>
      <c r="H77" s="1">
        <v>-7</v>
      </c>
      <c r="I77" s="1">
        <v>43</v>
      </c>
      <c r="J77" s="1">
        <v>36</v>
      </c>
      <c r="K77" s="1">
        <v>32</v>
      </c>
      <c r="L77" s="1">
        <v>44</v>
      </c>
      <c r="M77" s="1">
        <v>80</v>
      </c>
      <c r="N77" s="1">
        <v>86</v>
      </c>
      <c r="O77" s="1">
        <v>65</v>
      </c>
      <c r="P77" s="1">
        <v>64</v>
      </c>
      <c r="Q77" s="1">
        <v>27</v>
      </c>
      <c r="R77" s="1">
        <v>53</v>
      </c>
      <c r="S77" s="1">
        <v>117</v>
      </c>
      <c r="T77" s="1">
        <v>114</v>
      </c>
      <c r="U77" s="1">
        <v>197</v>
      </c>
      <c r="V77" s="1">
        <v>99</v>
      </c>
      <c r="W77" s="1">
        <v>120</v>
      </c>
      <c r="X77" s="1">
        <v>30</v>
      </c>
      <c r="Y77" s="1">
        <v>0</v>
      </c>
      <c r="Z77" s="1">
        <v>30</v>
      </c>
      <c r="AA77" s="1">
        <v>9</v>
      </c>
      <c r="AB77" s="1">
        <v>120</v>
      </c>
      <c r="AC77" s="1">
        <v>63</v>
      </c>
      <c r="AD77" s="1">
        <v>8</v>
      </c>
      <c r="AE77" s="1">
        <v>17</v>
      </c>
      <c r="AF77" s="1">
        <v>92</v>
      </c>
      <c r="AG77" s="1">
        <v>19</v>
      </c>
      <c r="AH77" s="1">
        <v>54</v>
      </c>
      <c r="AI77" s="1">
        <v>53</v>
      </c>
      <c r="AJ77" s="1">
        <v>39</v>
      </c>
      <c r="AK77" s="1">
        <v>6</v>
      </c>
      <c r="AL77" s="1">
        <v>6</v>
      </c>
      <c r="AM77" s="1">
        <v>9</v>
      </c>
      <c r="AN77" s="1">
        <v>21</v>
      </c>
      <c r="AO77" s="1">
        <v>35</v>
      </c>
      <c r="AP77" s="1">
        <v>4</v>
      </c>
      <c r="AQ77" s="1">
        <v>20</v>
      </c>
      <c r="AR77" s="1">
        <v>4</v>
      </c>
      <c r="AS77" s="1">
        <v>20</v>
      </c>
      <c r="AT77" s="1">
        <v>14</v>
      </c>
      <c r="AU77" s="1">
        <v>35</v>
      </c>
      <c r="AV77" s="1">
        <v>14</v>
      </c>
      <c r="AW77" s="1">
        <v>41</v>
      </c>
      <c r="AX77" s="1">
        <v>21</v>
      </c>
      <c r="AY77" s="1">
        <v>41</v>
      </c>
      <c r="AZ77" s="1">
        <v>7</v>
      </c>
      <c r="BA77" s="1">
        <v>9</v>
      </c>
      <c r="BB77" s="1">
        <v>12</v>
      </c>
      <c r="BC77" s="1">
        <v>28</v>
      </c>
      <c r="BD77" s="1">
        <v>46</v>
      </c>
      <c r="BE77" s="1">
        <v>12</v>
      </c>
      <c r="BF77" s="1">
        <v>59</v>
      </c>
      <c r="BG77" s="1">
        <v>11</v>
      </c>
      <c r="BH77" s="1">
        <v>4</v>
      </c>
      <c r="BI77" s="1">
        <v>10</v>
      </c>
      <c r="BJ77" s="1">
        <v>25</v>
      </c>
      <c r="BK77" s="1">
        <v>30</v>
      </c>
      <c r="BL77" s="1">
        <v>22</v>
      </c>
      <c r="BM77" s="1">
        <v>46</v>
      </c>
      <c r="BN77" s="1">
        <v>88</v>
      </c>
      <c r="BO77" s="1">
        <v>42</v>
      </c>
      <c r="BP77" s="1">
        <v>4.24</v>
      </c>
      <c r="BQ77" s="1">
        <v>3.96</v>
      </c>
      <c r="BR77" s="1">
        <v>2.57</v>
      </c>
      <c r="BS77" s="1">
        <v>3.59</v>
      </c>
      <c r="BT77" s="1">
        <v>56</v>
      </c>
      <c r="BU77" s="1">
        <v>3</v>
      </c>
      <c r="BV77" s="1">
        <v>49.9</v>
      </c>
      <c r="BW77" s="1">
        <v>16</v>
      </c>
      <c r="BX77" s="1">
        <v>52.17</v>
      </c>
      <c r="BY77" s="1">
        <v>366.85</v>
      </c>
      <c r="BZ77" s="1">
        <v>48.07</v>
      </c>
      <c r="CA77" s="1">
        <v>5.35</v>
      </c>
      <c r="CB77" s="1">
        <v>50.35</v>
      </c>
      <c r="CC77" s="1">
        <v>6.63</v>
      </c>
      <c r="CD77" s="1">
        <v>48.96</v>
      </c>
      <c r="CE77" s="1">
        <v>0.51</v>
      </c>
      <c r="CF77" s="1">
        <v>53.16</v>
      </c>
      <c r="CG77" s="1">
        <v>0.42</v>
      </c>
      <c r="CH77" s="1">
        <v>46.44</v>
      </c>
      <c r="CI77" s="1">
        <v>0</v>
      </c>
      <c r="CJ77" s="1">
        <v>44.54</v>
      </c>
      <c r="CK77" s="1">
        <v>-0.04</v>
      </c>
      <c r="CL77" s="1">
        <v>34.11</v>
      </c>
      <c r="CM77" s="1">
        <v>-0.03</v>
      </c>
      <c r="CN77" s="1">
        <v>45.64</v>
      </c>
      <c r="CO77" s="1">
        <v>7.0000000000000007E-2</v>
      </c>
      <c r="CP77" s="1">
        <v>55.02</v>
      </c>
      <c r="CQ77" s="1">
        <v>0.08</v>
      </c>
      <c r="CR77" s="1">
        <v>56.31</v>
      </c>
      <c r="CS77" s="1">
        <v>45</v>
      </c>
      <c r="CT77" s="1">
        <v>56</v>
      </c>
      <c r="CU77" s="1">
        <v>35</v>
      </c>
      <c r="CV77" s="1">
        <v>35</v>
      </c>
      <c r="CW77" s="1">
        <v>46</v>
      </c>
      <c r="CX77" s="1">
        <v>41</v>
      </c>
      <c r="CY77" s="1">
        <v>42</v>
      </c>
      <c r="CZ77" s="1">
        <v>39</v>
      </c>
      <c r="DA77" s="1">
        <v>0</v>
      </c>
    </row>
    <row r="78" spans="1:105" x14ac:dyDescent="0.15">
      <c r="A78" s="1" t="s">
        <v>50</v>
      </c>
      <c r="B78" s="1" t="s">
        <v>471</v>
      </c>
      <c r="C78" s="1">
        <v>1</v>
      </c>
      <c r="D78" s="1">
        <v>12</v>
      </c>
      <c r="E78" s="1">
        <v>43</v>
      </c>
      <c r="F78" s="1">
        <v>114</v>
      </c>
      <c r="G78" s="1">
        <v>99</v>
      </c>
      <c r="H78" s="1">
        <v>15</v>
      </c>
      <c r="I78" s="1">
        <v>62</v>
      </c>
      <c r="J78" s="1">
        <v>53</v>
      </c>
      <c r="K78" s="1">
        <v>37</v>
      </c>
      <c r="L78" s="1">
        <v>53</v>
      </c>
      <c r="M78" s="1">
        <v>106</v>
      </c>
      <c r="N78" s="1">
        <v>105</v>
      </c>
      <c r="O78" s="1">
        <v>39</v>
      </c>
      <c r="P78" s="1">
        <v>51</v>
      </c>
      <c r="Q78" s="1">
        <v>29</v>
      </c>
      <c r="R78" s="1">
        <v>63</v>
      </c>
      <c r="S78" s="1">
        <v>114</v>
      </c>
      <c r="T78" s="1">
        <v>110</v>
      </c>
      <c r="U78" s="1">
        <v>220</v>
      </c>
      <c r="V78" s="1">
        <v>108</v>
      </c>
      <c r="W78" s="1">
        <v>120</v>
      </c>
      <c r="X78" s="1">
        <v>15</v>
      </c>
      <c r="Y78" s="1">
        <v>0</v>
      </c>
      <c r="Z78" s="1">
        <v>15</v>
      </c>
      <c r="AA78" s="1">
        <v>4</v>
      </c>
      <c r="AB78" s="1">
        <v>120</v>
      </c>
      <c r="AC78" s="1">
        <v>41</v>
      </c>
      <c r="AD78" s="1">
        <v>5</v>
      </c>
      <c r="AE78" s="1">
        <v>9</v>
      </c>
      <c r="AF78" s="1">
        <v>71</v>
      </c>
      <c r="AG78" s="1">
        <v>50</v>
      </c>
      <c r="AH78" s="1">
        <v>31</v>
      </c>
      <c r="AI78" s="1">
        <v>35</v>
      </c>
      <c r="AJ78" s="1">
        <v>32</v>
      </c>
      <c r="AK78" s="1">
        <v>6</v>
      </c>
      <c r="AL78" s="1">
        <v>12</v>
      </c>
      <c r="AM78" s="1">
        <v>9</v>
      </c>
      <c r="AN78" s="1">
        <v>27</v>
      </c>
      <c r="AO78" s="1">
        <v>48</v>
      </c>
      <c r="AP78" s="1">
        <v>10</v>
      </c>
      <c r="AQ78" s="1">
        <v>50</v>
      </c>
      <c r="AR78" s="1">
        <v>12</v>
      </c>
      <c r="AS78" s="1">
        <v>57</v>
      </c>
      <c r="AT78" s="1">
        <v>11</v>
      </c>
      <c r="AU78" s="1">
        <v>32</v>
      </c>
      <c r="AV78" s="1">
        <v>12</v>
      </c>
      <c r="AW78" s="1">
        <v>38</v>
      </c>
      <c r="AX78" s="1">
        <v>12</v>
      </c>
      <c r="AY78" s="1">
        <v>39</v>
      </c>
      <c r="AZ78" s="1">
        <v>0</v>
      </c>
      <c r="BA78" s="1">
        <v>6</v>
      </c>
      <c r="BB78" s="1">
        <v>7</v>
      </c>
      <c r="BC78" s="1">
        <v>13</v>
      </c>
      <c r="BD78" s="1">
        <v>33</v>
      </c>
      <c r="BE78" s="1">
        <v>9</v>
      </c>
      <c r="BF78" s="1">
        <v>50</v>
      </c>
      <c r="BG78" s="1">
        <v>6</v>
      </c>
      <c r="BH78" s="1">
        <v>6</v>
      </c>
      <c r="BI78" s="1">
        <v>10</v>
      </c>
      <c r="BJ78" s="1">
        <v>22</v>
      </c>
      <c r="BK78" s="1">
        <v>33</v>
      </c>
      <c r="BL78" s="1">
        <v>14</v>
      </c>
      <c r="BM78" s="1">
        <v>33</v>
      </c>
      <c r="BN78" s="1">
        <v>89</v>
      </c>
      <c r="BO78" s="1">
        <v>40</v>
      </c>
      <c r="BP78" s="1">
        <v>4.24</v>
      </c>
      <c r="BQ78" s="1">
        <v>1.7000000000000002</v>
      </c>
      <c r="BR78" s="1">
        <v>0.98</v>
      </c>
      <c r="BS78" s="1">
        <v>2.31</v>
      </c>
      <c r="BT78" s="1">
        <v>40</v>
      </c>
      <c r="BU78" s="1">
        <v>4</v>
      </c>
      <c r="BV78" s="1">
        <v>55.43</v>
      </c>
      <c r="BW78" s="1">
        <v>3</v>
      </c>
      <c r="BX78" s="1">
        <v>36.869999999999997</v>
      </c>
      <c r="BY78" s="1">
        <v>495.25</v>
      </c>
      <c r="BZ78" s="1">
        <v>69.81</v>
      </c>
      <c r="CA78" s="1">
        <v>6.76</v>
      </c>
      <c r="CB78" s="1">
        <v>61.02</v>
      </c>
      <c r="CC78" s="1">
        <v>15.11</v>
      </c>
      <c r="CD78" s="1">
        <v>73.680000000000007</v>
      </c>
      <c r="CE78" s="1">
        <v>1.79</v>
      </c>
      <c r="CF78" s="1">
        <v>28.82</v>
      </c>
      <c r="CG78" s="1">
        <v>0.22</v>
      </c>
      <c r="CH78" s="1">
        <v>45.88</v>
      </c>
      <c r="CI78" s="1">
        <v>2</v>
      </c>
      <c r="CJ78" s="1">
        <v>88.07</v>
      </c>
      <c r="CK78" s="1">
        <v>-0.01</v>
      </c>
      <c r="CL78" s="1">
        <v>44.24</v>
      </c>
      <c r="CM78" s="1">
        <v>-7.0000000000000007E-2</v>
      </c>
      <c r="CN78" s="1">
        <v>43.35</v>
      </c>
      <c r="CO78" s="1">
        <v>-0.03</v>
      </c>
      <c r="CP78" s="1">
        <v>20.43</v>
      </c>
      <c r="CQ78" s="1">
        <v>-0.26</v>
      </c>
      <c r="CR78" s="1">
        <v>22.45</v>
      </c>
      <c r="CS78" s="1">
        <v>26</v>
      </c>
      <c r="CT78" s="1">
        <v>40</v>
      </c>
      <c r="CU78" s="1">
        <v>32</v>
      </c>
      <c r="CV78" s="1">
        <v>48</v>
      </c>
      <c r="CW78" s="1">
        <v>33</v>
      </c>
      <c r="CX78" s="1">
        <v>39</v>
      </c>
      <c r="CY78" s="1">
        <v>40</v>
      </c>
      <c r="CZ78" s="1">
        <v>28</v>
      </c>
      <c r="DA78" s="1">
        <v>0</v>
      </c>
    </row>
    <row r="79" spans="1:105" x14ac:dyDescent="0.15">
      <c r="A79" s="1" t="s">
        <v>54</v>
      </c>
      <c r="B79" s="1" t="s">
        <v>213</v>
      </c>
      <c r="C79" s="1">
        <v>1</v>
      </c>
      <c r="D79" s="1">
        <v>13</v>
      </c>
      <c r="E79" s="1">
        <v>30</v>
      </c>
      <c r="F79" s="1">
        <v>95</v>
      </c>
      <c r="G79" s="1">
        <v>105</v>
      </c>
      <c r="H79" s="1">
        <v>-10</v>
      </c>
      <c r="I79" s="1">
        <v>54</v>
      </c>
      <c r="J79" s="1">
        <v>45</v>
      </c>
      <c r="K79" s="1">
        <v>27</v>
      </c>
      <c r="L79" s="1">
        <v>39</v>
      </c>
      <c r="M79" s="1">
        <v>84</v>
      </c>
      <c r="N79" s="1">
        <v>88</v>
      </c>
      <c r="O79" s="1">
        <v>29</v>
      </c>
      <c r="P79" s="1">
        <v>46</v>
      </c>
      <c r="Q79" s="1">
        <v>10</v>
      </c>
      <c r="R79" s="1">
        <v>33</v>
      </c>
      <c r="S79" s="1">
        <v>79</v>
      </c>
      <c r="T79" s="1">
        <v>84</v>
      </c>
      <c r="U79" s="1">
        <v>163</v>
      </c>
      <c r="V79" s="1">
        <v>84</v>
      </c>
      <c r="W79" s="1">
        <v>120</v>
      </c>
      <c r="X79" s="1">
        <v>19</v>
      </c>
      <c r="Y79" s="1">
        <v>1</v>
      </c>
      <c r="Z79" s="1">
        <v>18</v>
      </c>
      <c r="AA79" s="1">
        <v>5</v>
      </c>
      <c r="AB79" s="1">
        <v>120</v>
      </c>
      <c r="AC79" s="1">
        <v>44</v>
      </c>
      <c r="AD79" s="1">
        <v>6</v>
      </c>
      <c r="AE79" s="1">
        <v>11</v>
      </c>
      <c r="AF79" s="1">
        <v>76</v>
      </c>
      <c r="AG79" s="1">
        <v>8888</v>
      </c>
      <c r="AH79" s="1">
        <v>8888</v>
      </c>
      <c r="AI79" s="1">
        <v>42</v>
      </c>
      <c r="AJ79" s="1">
        <v>41</v>
      </c>
      <c r="AK79" s="1">
        <v>5</v>
      </c>
      <c r="AL79" s="1">
        <v>9</v>
      </c>
      <c r="AM79" s="1">
        <v>8</v>
      </c>
      <c r="AN79" s="1">
        <v>22</v>
      </c>
      <c r="AO79" s="1">
        <v>39</v>
      </c>
      <c r="AP79" s="1">
        <v>8</v>
      </c>
      <c r="AQ79" s="1">
        <v>39</v>
      </c>
      <c r="AR79" s="1">
        <v>11</v>
      </c>
      <c r="AS79" s="1">
        <v>51</v>
      </c>
      <c r="AT79" s="1">
        <v>13</v>
      </c>
      <c r="AU79" s="1">
        <v>40</v>
      </c>
      <c r="AV79" s="1">
        <v>13</v>
      </c>
      <c r="AW79" s="1">
        <v>41</v>
      </c>
      <c r="AX79" s="1">
        <v>10</v>
      </c>
      <c r="AY79" s="1">
        <v>38</v>
      </c>
      <c r="AZ79" s="1">
        <v>6</v>
      </c>
      <c r="BA79" s="1">
        <v>9</v>
      </c>
      <c r="BB79" s="1">
        <v>10</v>
      </c>
      <c r="BC79" s="1">
        <v>25</v>
      </c>
      <c r="BD79" s="1">
        <v>55</v>
      </c>
      <c r="BE79" s="1">
        <v>9</v>
      </c>
      <c r="BF79" s="1">
        <v>50</v>
      </c>
      <c r="BG79" s="1">
        <v>11</v>
      </c>
      <c r="BH79" s="1">
        <v>7</v>
      </c>
      <c r="BI79" s="1">
        <v>13</v>
      </c>
      <c r="BJ79" s="1">
        <v>31</v>
      </c>
      <c r="BK79" s="1">
        <v>38</v>
      </c>
      <c r="BL79" s="1">
        <v>12</v>
      </c>
      <c r="BM79" s="1">
        <v>30</v>
      </c>
      <c r="BN79" s="1">
        <v>86</v>
      </c>
      <c r="BO79" s="1">
        <v>36</v>
      </c>
      <c r="BP79" s="1">
        <v>3.4</v>
      </c>
      <c r="BQ79" s="1">
        <v>1.9500000000000002</v>
      </c>
      <c r="BR79" s="1">
        <v>0.59</v>
      </c>
      <c r="BS79" s="1">
        <v>1.98</v>
      </c>
      <c r="BT79" s="1">
        <v>35</v>
      </c>
      <c r="BU79" s="1">
        <v>32</v>
      </c>
      <c r="BV79" s="1">
        <v>148.74</v>
      </c>
      <c r="BW79" s="1">
        <v>2</v>
      </c>
      <c r="BX79" s="1">
        <v>35.71</v>
      </c>
      <c r="BY79" s="1">
        <v>572.16</v>
      </c>
      <c r="BZ79" s="1">
        <v>81.22</v>
      </c>
      <c r="CA79" s="1">
        <v>12.02</v>
      </c>
      <c r="CB79" s="1">
        <v>83.49</v>
      </c>
      <c r="CC79" s="1">
        <v>30.54</v>
      </c>
      <c r="CD79" s="1">
        <v>91.54</v>
      </c>
      <c r="CE79" s="1">
        <v>1.53</v>
      </c>
      <c r="CF79" s="1">
        <v>33.840000000000003</v>
      </c>
      <c r="CG79" s="1">
        <v>10.56</v>
      </c>
      <c r="CH79" s="1">
        <v>100</v>
      </c>
      <c r="CI79" s="1">
        <v>1</v>
      </c>
      <c r="CJ79" s="1">
        <v>66.92</v>
      </c>
      <c r="CK79" s="1">
        <v>-0.04</v>
      </c>
      <c r="CL79" s="1">
        <v>32.19</v>
      </c>
      <c r="CM79" s="1">
        <v>7.0000000000000007E-2</v>
      </c>
      <c r="CN79" s="1">
        <v>69.72</v>
      </c>
      <c r="CO79" s="1">
        <v>0.04</v>
      </c>
      <c r="CP79" s="1">
        <v>48.11</v>
      </c>
      <c r="CQ79" s="1">
        <v>0.22</v>
      </c>
      <c r="CR79" s="1">
        <v>74.86</v>
      </c>
      <c r="CS79" s="1">
        <v>32</v>
      </c>
      <c r="CT79" s="1">
        <v>35</v>
      </c>
      <c r="CU79" s="1">
        <v>38</v>
      </c>
      <c r="CV79" s="1">
        <v>39</v>
      </c>
      <c r="CW79" s="1">
        <v>55</v>
      </c>
      <c r="CX79" s="1">
        <v>38</v>
      </c>
      <c r="CY79" s="1">
        <v>36</v>
      </c>
      <c r="CZ79" s="1">
        <v>32</v>
      </c>
      <c r="DA79" s="1">
        <v>0</v>
      </c>
    </row>
    <row r="80" spans="1:105" x14ac:dyDescent="0.15">
      <c r="A80" s="1" t="s">
        <v>58</v>
      </c>
      <c r="B80" s="1" t="s">
        <v>472</v>
      </c>
      <c r="C80" s="1">
        <v>3</v>
      </c>
      <c r="D80" s="1">
        <v>11</v>
      </c>
      <c r="E80" s="1">
        <v>22</v>
      </c>
      <c r="F80" s="1">
        <v>83</v>
      </c>
      <c r="G80" s="1">
        <v>94</v>
      </c>
      <c r="H80" s="1">
        <v>-11</v>
      </c>
      <c r="I80" s="1">
        <v>42</v>
      </c>
      <c r="J80" s="1">
        <v>33</v>
      </c>
      <c r="K80" s="1">
        <v>33</v>
      </c>
      <c r="L80" s="1">
        <v>45</v>
      </c>
      <c r="M80" s="1">
        <v>78</v>
      </c>
      <c r="N80" s="1">
        <v>84</v>
      </c>
      <c r="O80" s="1">
        <v>41</v>
      </c>
      <c r="P80" s="1">
        <v>51</v>
      </c>
      <c r="Q80" s="1">
        <v>22</v>
      </c>
      <c r="R80" s="1">
        <v>48</v>
      </c>
      <c r="S80" s="1">
        <v>99</v>
      </c>
      <c r="T80" s="1">
        <v>99</v>
      </c>
      <c r="U80" s="1">
        <v>177</v>
      </c>
      <c r="V80" s="1">
        <v>89</v>
      </c>
      <c r="W80" s="1">
        <v>120</v>
      </c>
      <c r="X80" s="1">
        <v>18</v>
      </c>
      <c r="Y80" s="1">
        <v>0</v>
      </c>
      <c r="Z80" s="1">
        <v>18</v>
      </c>
      <c r="AA80" s="1">
        <v>5</v>
      </c>
      <c r="AB80" s="1">
        <v>120</v>
      </c>
      <c r="AC80" s="1">
        <v>50</v>
      </c>
      <c r="AD80" s="1">
        <v>6</v>
      </c>
      <c r="AE80" s="1">
        <v>11</v>
      </c>
      <c r="AF80" s="1">
        <v>76</v>
      </c>
      <c r="AG80" s="1">
        <v>29</v>
      </c>
      <c r="AH80" s="1">
        <v>46</v>
      </c>
      <c r="AI80" s="1">
        <v>40</v>
      </c>
      <c r="AJ80" s="1">
        <v>34</v>
      </c>
      <c r="AK80" s="1">
        <v>4</v>
      </c>
      <c r="AL80" s="1">
        <v>6</v>
      </c>
      <c r="AM80" s="1">
        <v>5</v>
      </c>
      <c r="AN80" s="1">
        <v>15</v>
      </c>
      <c r="AO80" s="1">
        <v>29</v>
      </c>
      <c r="AP80" s="1">
        <v>3</v>
      </c>
      <c r="AQ80" s="1">
        <v>20</v>
      </c>
      <c r="AR80" s="1">
        <v>10</v>
      </c>
      <c r="AS80" s="1">
        <v>39</v>
      </c>
      <c r="AT80" s="1">
        <v>14</v>
      </c>
      <c r="AU80" s="1">
        <v>40</v>
      </c>
      <c r="AV80" s="1">
        <v>6</v>
      </c>
      <c r="AW80" s="1">
        <v>19</v>
      </c>
      <c r="AX80" s="1">
        <v>16</v>
      </c>
      <c r="AY80" s="1">
        <v>41</v>
      </c>
      <c r="AZ80" s="1">
        <v>3</v>
      </c>
      <c r="BA80" s="1">
        <v>4</v>
      </c>
      <c r="BB80" s="1">
        <v>4</v>
      </c>
      <c r="BC80" s="1">
        <v>11</v>
      </c>
      <c r="BD80" s="1">
        <v>26</v>
      </c>
      <c r="BE80" s="1">
        <v>3</v>
      </c>
      <c r="BF80" s="1">
        <v>20</v>
      </c>
      <c r="BG80" s="1">
        <v>9</v>
      </c>
      <c r="BH80" s="1">
        <v>7</v>
      </c>
      <c r="BI80" s="1">
        <v>12</v>
      </c>
      <c r="BJ80" s="1">
        <v>28</v>
      </c>
      <c r="BK80" s="1">
        <v>38</v>
      </c>
      <c r="BL80" s="1">
        <v>16</v>
      </c>
      <c r="BM80" s="1">
        <v>36</v>
      </c>
      <c r="BN80" s="1">
        <v>68</v>
      </c>
      <c r="BO80" s="1">
        <v>17</v>
      </c>
      <c r="BP80" s="1">
        <v>1.4</v>
      </c>
      <c r="BQ80" s="1">
        <v>0.98</v>
      </c>
      <c r="BR80" s="1">
        <v>-0.17</v>
      </c>
      <c r="BS80" s="1">
        <v>0.74</v>
      </c>
      <c r="BT80" s="1">
        <v>15</v>
      </c>
      <c r="BU80" s="1">
        <v>0</v>
      </c>
      <c r="BV80" s="1">
        <v>42.1</v>
      </c>
      <c r="BW80" s="1">
        <v>12</v>
      </c>
      <c r="BX80" s="1">
        <v>47.35</v>
      </c>
      <c r="BY80" s="1">
        <v>401.38</v>
      </c>
      <c r="BZ80" s="1">
        <v>53.2</v>
      </c>
      <c r="CA80" s="1">
        <v>5.58</v>
      </c>
      <c r="CB80" s="1">
        <v>53.51</v>
      </c>
      <c r="CC80" s="1">
        <v>7.5</v>
      </c>
      <c r="CD80" s="1">
        <v>55.9</v>
      </c>
      <c r="CE80" s="1">
        <v>0.53</v>
      </c>
      <c r="CF80" s="1">
        <v>53.22</v>
      </c>
      <c r="CG80" s="1">
        <v>0.45</v>
      </c>
      <c r="CH80" s="1">
        <v>47.52</v>
      </c>
      <c r="CI80" s="1">
        <v>0</v>
      </c>
      <c r="CJ80" s="1">
        <v>45.77</v>
      </c>
      <c r="CK80" s="1">
        <v>0.05</v>
      </c>
      <c r="CL80" s="1">
        <v>71.17</v>
      </c>
      <c r="CM80" s="1">
        <v>0.15</v>
      </c>
      <c r="CN80" s="1">
        <v>85.02</v>
      </c>
      <c r="CO80" s="1">
        <v>0.05</v>
      </c>
      <c r="CP80" s="1">
        <v>49.5</v>
      </c>
      <c r="CQ80" s="1">
        <v>0.01</v>
      </c>
      <c r="CR80" s="1">
        <v>52.08</v>
      </c>
      <c r="CS80" s="1">
        <v>35</v>
      </c>
      <c r="CT80" s="1">
        <v>15</v>
      </c>
      <c r="CU80" s="1">
        <v>25</v>
      </c>
      <c r="CV80" s="1">
        <v>29</v>
      </c>
      <c r="CW80" s="1">
        <v>26</v>
      </c>
      <c r="CX80" s="1">
        <v>41</v>
      </c>
      <c r="CY80" s="1">
        <v>17</v>
      </c>
      <c r="CZ80" s="1">
        <v>12</v>
      </c>
      <c r="DA80" s="1">
        <v>0</v>
      </c>
    </row>
    <row r="81" spans="1:105" x14ac:dyDescent="0.15">
      <c r="A81" s="1" t="s">
        <v>56</v>
      </c>
      <c r="B81" s="1" t="s">
        <v>473</v>
      </c>
      <c r="C81" s="1">
        <v>3</v>
      </c>
      <c r="D81" s="1">
        <v>11</v>
      </c>
      <c r="E81" s="1">
        <v>39</v>
      </c>
      <c r="F81" s="1">
        <v>109</v>
      </c>
      <c r="G81" s="1">
        <v>94</v>
      </c>
      <c r="H81" s="1">
        <v>15</v>
      </c>
      <c r="I81" s="1">
        <v>41</v>
      </c>
      <c r="J81" s="1">
        <v>33</v>
      </c>
      <c r="K81" s="1">
        <v>20</v>
      </c>
      <c r="L81" s="1">
        <v>24</v>
      </c>
      <c r="M81" s="1">
        <v>57</v>
      </c>
      <c r="N81" s="1">
        <v>71</v>
      </c>
      <c r="O81" s="1">
        <v>41</v>
      </c>
      <c r="P81" s="1">
        <v>49</v>
      </c>
      <c r="Q81" s="1">
        <v>15</v>
      </c>
      <c r="R81" s="1">
        <v>30</v>
      </c>
      <c r="S81" s="1">
        <v>79</v>
      </c>
      <c r="T81" s="1">
        <v>84</v>
      </c>
      <c r="U81" s="1">
        <v>136</v>
      </c>
      <c r="V81" s="1">
        <v>74</v>
      </c>
      <c r="W81" s="1">
        <v>120</v>
      </c>
      <c r="X81" s="1">
        <v>26</v>
      </c>
      <c r="Y81" s="1">
        <v>0</v>
      </c>
      <c r="Z81" s="1">
        <v>26</v>
      </c>
      <c r="AA81" s="1">
        <v>7</v>
      </c>
      <c r="AB81" s="1">
        <v>120</v>
      </c>
      <c r="AC81" s="1">
        <v>45</v>
      </c>
      <c r="AD81" s="1">
        <v>5</v>
      </c>
      <c r="AE81" s="1">
        <v>12</v>
      </c>
      <c r="AF81" s="1">
        <v>79</v>
      </c>
      <c r="AG81" s="1">
        <v>8888</v>
      </c>
      <c r="AH81" s="1">
        <v>8888</v>
      </c>
      <c r="AI81" s="1">
        <v>53</v>
      </c>
      <c r="AJ81" s="1">
        <v>41</v>
      </c>
      <c r="AK81" s="1">
        <v>4</v>
      </c>
      <c r="AL81" s="1">
        <v>5</v>
      </c>
      <c r="AM81" s="1">
        <v>8</v>
      </c>
      <c r="AN81" s="1">
        <v>17</v>
      </c>
      <c r="AO81" s="1">
        <v>30</v>
      </c>
      <c r="AP81" s="1">
        <v>2</v>
      </c>
      <c r="AQ81" s="1">
        <v>20</v>
      </c>
      <c r="AR81" s="1">
        <v>7</v>
      </c>
      <c r="AS81" s="1">
        <v>21</v>
      </c>
      <c r="AT81" s="1">
        <v>18</v>
      </c>
      <c r="AU81" s="1">
        <v>49</v>
      </c>
      <c r="AV81" s="1">
        <v>11</v>
      </c>
      <c r="AW81" s="1">
        <v>32</v>
      </c>
      <c r="AX81" s="1">
        <v>23</v>
      </c>
      <c r="AY81" s="1">
        <v>48</v>
      </c>
      <c r="AZ81" s="1">
        <v>2</v>
      </c>
      <c r="BA81" s="1">
        <v>3</v>
      </c>
      <c r="BB81" s="1">
        <v>4</v>
      </c>
      <c r="BC81" s="1">
        <v>9</v>
      </c>
      <c r="BD81" s="1">
        <v>15</v>
      </c>
      <c r="BE81" s="1">
        <v>9999</v>
      </c>
      <c r="BF81" s="1">
        <v>9999</v>
      </c>
      <c r="BG81" s="1">
        <v>14</v>
      </c>
      <c r="BH81" s="1">
        <v>9</v>
      </c>
      <c r="BI81" s="1">
        <v>13</v>
      </c>
      <c r="BJ81" s="1">
        <v>36</v>
      </c>
      <c r="BK81" s="1">
        <v>45</v>
      </c>
      <c r="BL81" s="1">
        <v>15</v>
      </c>
      <c r="BM81" s="1">
        <v>33</v>
      </c>
      <c r="BN81" s="1">
        <v>85</v>
      </c>
      <c r="BO81" s="1">
        <v>39</v>
      </c>
      <c r="BP81" s="1">
        <v>3.23</v>
      </c>
      <c r="BQ81" s="1">
        <v>2.34</v>
      </c>
      <c r="BR81" s="1">
        <v>0.56000000000000016</v>
      </c>
      <c r="BS81" s="1">
        <v>2.04</v>
      </c>
      <c r="BT81" s="1">
        <v>33</v>
      </c>
      <c r="BU81" s="1">
        <v>0</v>
      </c>
      <c r="BV81" s="1">
        <v>40.86</v>
      </c>
      <c r="BW81" s="1">
        <v>9</v>
      </c>
      <c r="BX81" s="1">
        <v>43.17</v>
      </c>
      <c r="BY81" s="1">
        <v>376.67</v>
      </c>
      <c r="BZ81" s="1">
        <v>49.67</v>
      </c>
      <c r="CA81" s="1">
        <v>3.81</v>
      </c>
      <c r="CB81" s="1">
        <v>40.22</v>
      </c>
      <c r="CC81" s="1">
        <v>2.2599999999999998</v>
      </c>
      <c r="CD81" s="1">
        <v>29.29</v>
      </c>
      <c r="CE81" s="1">
        <v>0.88</v>
      </c>
      <c r="CF81" s="1">
        <v>45.05</v>
      </c>
      <c r="CG81" s="1">
        <v>0</v>
      </c>
      <c r="CH81" s="1">
        <v>41.82</v>
      </c>
      <c r="CI81" s="1">
        <v>0</v>
      </c>
      <c r="CJ81" s="1">
        <v>44.54</v>
      </c>
      <c r="CK81" s="1">
        <v>-0.01</v>
      </c>
      <c r="CL81" s="1">
        <v>44.22</v>
      </c>
      <c r="CM81" s="1">
        <v>0.02</v>
      </c>
      <c r="CN81" s="1">
        <v>51.64</v>
      </c>
      <c r="CO81" s="1">
        <v>0.02</v>
      </c>
      <c r="CP81" s="1">
        <v>40.28</v>
      </c>
      <c r="CQ81" s="1">
        <v>-0.05</v>
      </c>
      <c r="CR81" s="1">
        <v>44.36</v>
      </c>
      <c r="CS81" s="1">
        <v>34</v>
      </c>
      <c r="CT81" s="1">
        <v>33</v>
      </c>
      <c r="CU81" s="1">
        <v>39</v>
      </c>
      <c r="CV81" s="1">
        <v>30</v>
      </c>
      <c r="CW81" s="1">
        <v>15</v>
      </c>
      <c r="CX81" s="1">
        <v>48</v>
      </c>
      <c r="CY81" s="1">
        <v>39</v>
      </c>
      <c r="CZ81" s="1">
        <v>24</v>
      </c>
      <c r="DA81" s="1">
        <v>0</v>
      </c>
    </row>
    <row r="82" spans="1:105" x14ac:dyDescent="0.15">
      <c r="A82" s="1" t="s">
        <v>59</v>
      </c>
      <c r="B82" s="1" t="s">
        <v>436</v>
      </c>
      <c r="C82" s="1">
        <v>1</v>
      </c>
      <c r="D82" s="1">
        <v>13</v>
      </c>
      <c r="E82" s="1">
        <v>40</v>
      </c>
      <c r="F82" s="1">
        <v>112</v>
      </c>
      <c r="G82" s="1">
        <v>105</v>
      </c>
      <c r="H82" s="1">
        <v>7</v>
      </c>
      <c r="I82" s="1">
        <v>55</v>
      </c>
      <c r="J82" s="1">
        <v>49</v>
      </c>
      <c r="K82" s="1">
        <v>33</v>
      </c>
      <c r="L82" s="1">
        <v>46</v>
      </c>
      <c r="M82" s="1">
        <v>95</v>
      </c>
      <c r="N82" s="1">
        <v>96</v>
      </c>
      <c r="O82" s="1">
        <v>59</v>
      </c>
      <c r="P82" s="1">
        <v>60</v>
      </c>
      <c r="Q82" s="1">
        <v>29</v>
      </c>
      <c r="R82" s="1">
        <v>57</v>
      </c>
      <c r="S82" s="1">
        <v>117</v>
      </c>
      <c r="T82" s="1">
        <v>114</v>
      </c>
      <c r="U82" s="1">
        <v>212</v>
      </c>
      <c r="V82" s="1">
        <v>105</v>
      </c>
      <c r="W82" s="1">
        <v>120</v>
      </c>
      <c r="X82" s="1">
        <v>26</v>
      </c>
      <c r="Y82" s="1">
        <v>0</v>
      </c>
      <c r="Z82" s="1">
        <v>26</v>
      </c>
      <c r="AA82" s="1">
        <v>7</v>
      </c>
      <c r="AB82" s="1">
        <v>120</v>
      </c>
      <c r="AC82" s="1">
        <v>43</v>
      </c>
      <c r="AD82" s="1">
        <v>5</v>
      </c>
      <c r="AE82" s="1">
        <v>12</v>
      </c>
      <c r="AF82" s="1">
        <v>79</v>
      </c>
      <c r="AG82" s="1">
        <v>31</v>
      </c>
      <c r="AH82" s="1">
        <v>38</v>
      </c>
      <c r="AI82" s="1">
        <v>50</v>
      </c>
      <c r="AJ82" s="1">
        <v>35</v>
      </c>
      <c r="AK82" s="1">
        <v>2</v>
      </c>
      <c r="AL82" s="1">
        <v>7</v>
      </c>
      <c r="AM82" s="1">
        <v>11</v>
      </c>
      <c r="AN82" s="1">
        <v>20</v>
      </c>
      <c r="AO82" s="1">
        <v>34</v>
      </c>
      <c r="AP82" s="1">
        <v>6</v>
      </c>
      <c r="AQ82" s="1">
        <v>21</v>
      </c>
      <c r="AR82" s="1">
        <v>11</v>
      </c>
      <c r="AS82" s="1">
        <v>43</v>
      </c>
      <c r="AT82" s="1">
        <v>19</v>
      </c>
      <c r="AU82" s="1">
        <v>51</v>
      </c>
      <c r="AV82" s="1">
        <v>14</v>
      </c>
      <c r="AW82" s="1">
        <v>41</v>
      </c>
      <c r="AX82" s="1">
        <v>22</v>
      </c>
      <c r="AY82" s="1">
        <v>43</v>
      </c>
      <c r="AZ82" s="1">
        <v>2</v>
      </c>
      <c r="BA82" s="1">
        <v>5</v>
      </c>
      <c r="BB82" s="1">
        <v>10</v>
      </c>
      <c r="BC82" s="1">
        <v>17</v>
      </c>
      <c r="BD82" s="1">
        <v>27</v>
      </c>
      <c r="BE82" s="1">
        <v>10</v>
      </c>
      <c r="BF82" s="1">
        <v>44</v>
      </c>
      <c r="BG82" s="1">
        <v>11</v>
      </c>
      <c r="BH82" s="1">
        <v>9</v>
      </c>
      <c r="BI82" s="1">
        <v>20</v>
      </c>
      <c r="BJ82" s="1">
        <v>40</v>
      </c>
      <c r="BK82" s="1">
        <v>39</v>
      </c>
      <c r="BL82" s="1">
        <v>22</v>
      </c>
      <c r="BM82" s="1">
        <v>46</v>
      </c>
      <c r="BN82" s="1">
        <v>88</v>
      </c>
      <c r="BO82" s="1">
        <v>43</v>
      </c>
      <c r="BP82" s="1">
        <v>2.78</v>
      </c>
      <c r="BQ82" s="1">
        <v>2.25</v>
      </c>
      <c r="BR82" s="1">
        <v>0.84</v>
      </c>
      <c r="BS82" s="1">
        <v>1.96</v>
      </c>
      <c r="BT82" s="1">
        <v>31</v>
      </c>
      <c r="BU82" s="1">
        <v>8</v>
      </c>
      <c r="BV82" s="1">
        <v>64.959999999999994</v>
      </c>
      <c r="BW82" s="1">
        <v>20</v>
      </c>
      <c r="BX82" s="1">
        <v>57.31</v>
      </c>
      <c r="BY82" s="1">
        <v>376.52</v>
      </c>
      <c r="BZ82" s="1">
        <v>49.65</v>
      </c>
      <c r="CA82" s="1">
        <v>9.35</v>
      </c>
      <c r="CB82" s="1">
        <v>67.069999999999993</v>
      </c>
      <c r="CC82" s="1">
        <v>10.98</v>
      </c>
      <c r="CD82" s="1">
        <v>58.18</v>
      </c>
      <c r="CE82" s="1">
        <v>0.52</v>
      </c>
      <c r="CF82" s="1">
        <v>53</v>
      </c>
      <c r="CG82" s="1">
        <v>0.47</v>
      </c>
      <c r="CH82" s="1">
        <v>47</v>
      </c>
      <c r="CI82" s="1">
        <v>11</v>
      </c>
      <c r="CJ82" s="1">
        <v>114.65</v>
      </c>
      <c r="CK82" s="1">
        <v>-0.03</v>
      </c>
      <c r="CL82" s="1">
        <v>36.86</v>
      </c>
      <c r="CM82" s="1">
        <v>-0.04</v>
      </c>
      <c r="CN82" s="1">
        <v>44.38</v>
      </c>
      <c r="CO82" s="1">
        <v>0.11</v>
      </c>
      <c r="CP82" s="1">
        <v>68.09</v>
      </c>
      <c r="CQ82" s="1">
        <v>-0.01</v>
      </c>
      <c r="CR82" s="1">
        <v>48.07</v>
      </c>
      <c r="CS82" s="1">
        <v>36</v>
      </c>
      <c r="CT82" s="1">
        <v>31</v>
      </c>
      <c r="CU82" s="1">
        <v>45</v>
      </c>
      <c r="CV82" s="1">
        <v>34</v>
      </c>
      <c r="CW82" s="1">
        <v>27</v>
      </c>
      <c r="CX82" s="1">
        <v>43</v>
      </c>
      <c r="CY82" s="1">
        <v>43</v>
      </c>
      <c r="CZ82" s="1">
        <v>29</v>
      </c>
      <c r="DA82" s="1">
        <v>0</v>
      </c>
    </row>
    <row r="83" spans="1:105" x14ac:dyDescent="0.15">
      <c r="A83" s="1" t="s">
        <v>52</v>
      </c>
      <c r="B83" s="1" t="s">
        <v>439</v>
      </c>
      <c r="C83" s="1">
        <v>1</v>
      </c>
      <c r="D83" s="1">
        <v>13</v>
      </c>
      <c r="E83" s="1">
        <v>41</v>
      </c>
      <c r="F83" s="1">
        <v>113</v>
      </c>
      <c r="G83" s="1">
        <v>105</v>
      </c>
      <c r="H83" s="1">
        <v>8</v>
      </c>
      <c r="I83" s="1">
        <v>72</v>
      </c>
      <c r="J83" s="1">
        <v>70</v>
      </c>
      <c r="K83" s="1">
        <v>44</v>
      </c>
      <c r="L83" s="1">
        <v>66</v>
      </c>
      <c r="M83" s="1">
        <v>136</v>
      </c>
      <c r="N83" s="1">
        <v>132</v>
      </c>
      <c r="O83" s="1">
        <v>64</v>
      </c>
      <c r="P83" s="1">
        <v>64</v>
      </c>
      <c r="Q83" s="1">
        <v>31</v>
      </c>
      <c r="R83" s="1">
        <v>61</v>
      </c>
      <c r="S83" s="1">
        <v>125</v>
      </c>
      <c r="T83" s="1">
        <v>121</v>
      </c>
      <c r="U83" s="1">
        <v>261</v>
      </c>
      <c r="V83" s="1">
        <v>130</v>
      </c>
      <c r="W83" s="1">
        <v>120</v>
      </c>
      <c r="X83" s="1">
        <v>42</v>
      </c>
      <c r="Y83" s="1">
        <v>0</v>
      </c>
      <c r="Z83" s="1">
        <v>42</v>
      </c>
      <c r="AA83" s="1">
        <v>13</v>
      </c>
      <c r="AB83" s="1">
        <v>120</v>
      </c>
      <c r="AC83" s="1">
        <v>107</v>
      </c>
      <c r="AD83" s="1">
        <v>17</v>
      </c>
      <c r="AE83" s="1">
        <v>30</v>
      </c>
      <c r="AF83" s="1">
        <v>127</v>
      </c>
      <c r="AG83" s="1">
        <v>8888</v>
      </c>
      <c r="AH83" s="1">
        <v>8888</v>
      </c>
      <c r="AI83" s="1">
        <v>65</v>
      </c>
      <c r="AJ83" s="1">
        <v>51</v>
      </c>
      <c r="AK83" s="1">
        <v>7</v>
      </c>
      <c r="AL83" s="1">
        <v>8</v>
      </c>
      <c r="AM83" s="1">
        <v>11</v>
      </c>
      <c r="AN83" s="1">
        <v>26</v>
      </c>
      <c r="AO83" s="1">
        <v>44</v>
      </c>
      <c r="AP83" s="1">
        <v>11</v>
      </c>
      <c r="AQ83" s="1">
        <v>56</v>
      </c>
      <c r="AR83" s="1">
        <v>11</v>
      </c>
      <c r="AS83" s="1">
        <v>43</v>
      </c>
      <c r="AT83" s="1">
        <v>18</v>
      </c>
      <c r="AU83" s="1">
        <v>48</v>
      </c>
      <c r="AV83" s="1">
        <v>15</v>
      </c>
      <c r="AW83" s="1">
        <v>43</v>
      </c>
      <c r="AX83" s="1">
        <v>25</v>
      </c>
      <c r="AY83" s="1">
        <v>53</v>
      </c>
      <c r="AZ83" s="1">
        <v>6</v>
      </c>
      <c r="BA83" s="1">
        <v>9</v>
      </c>
      <c r="BB83" s="1">
        <v>10</v>
      </c>
      <c r="BC83" s="1">
        <v>26</v>
      </c>
      <c r="BD83" s="1">
        <v>41</v>
      </c>
      <c r="BE83" s="1">
        <v>11</v>
      </c>
      <c r="BF83" s="1">
        <v>52</v>
      </c>
      <c r="BG83" s="1">
        <v>19</v>
      </c>
      <c r="BH83" s="1">
        <v>13</v>
      </c>
      <c r="BI83" s="1">
        <v>21</v>
      </c>
      <c r="BJ83" s="1">
        <v>53</v>
      </c>
      <c r="BK83" s="1">
        <v>47</v>
      </c>
      <c r="BL83" s="1">
        <v>32</v>
      </c>
      <c r="BM83" s="1">
        <v>64</v>
      </c>
      <c r="BN83" s="1">
        <v>97</v>
      </c>
      <c r="BO83" s="1">
        <v>53</v>
      </c>
      <c r="BP83" s="1">
        <v>3.34</v>
      </c>
      <c r="BQ83" s="1">
        <v>3.34</v>
      </c>
      <c r="BR83" s="1">
        <v>1.84</v>
      </c>
      <c r="BS83" s="1">
        <v>2.84</v>
      </c>
      <c r="BT83" s="1">
        <v>45</v>
      </c>
      <c r="BU83" s="1">
        <v>0</v>
      </c>
      <c r="BV83" s="1">
        <v>40.86</v>
      </c>
      <c r="BW83" s="1">
        <v>0</v>
      </c>
      <c r="BX83" s="1">
        <v>31.6</v>
      </c>
      <c r="BY83" s="1">
        <v>362.18</v>
      </c>
      <c r="BZ83" s="1">
        <v>47.29</v>
      </c>
      <c r="CA83" s="1">
        <v>2.82</v>
      </c>
      <c r="CB83" s="1">
        <v>31.18</v>
      </c>
      <c r="CC83" s="1">
        <v>3.49</v>
      </c>
      <c r="CD83" s="1">
        <v>37.22</v>
      </c>
      <c r="CE83" s="1">
        <v>2.16</v>
      </c>
      <c r="CF83" s="1">
        <v>17.260000000000002</v>
      </c>
      <c r="CG83" s="1">
        <v>2.74</v>
      </c>
      <c r="CH83" s="1">
        <v>71.8</v>
      </c>
      <c r="CI83" s="1">
        <v>0</v>
      </c>
      <c r="CJ83" s="1">
        <v>44.54</v>
      </c>
      <c r="CK83" s="1">
        <v>-0.02</v>
      </c>
      <c r="CL83" s="1">
        <v>40.909999999999997</v>
      </c>
      <c r="CM83" s="1">
        <v>-0.05</v>
      </c>
      <c r="CN83" s="1">
        <v>42.77</v>
      </c>
      <c r="CO83" s="1">
        <v>0.04</v>
      </c>
      <c r="CP83" s="1">
        <v>45.9</v>
      </c>
      <c r="CQ83" s="1">
        <v>0.12</v>
      </c>
      <c r="CR83" s="1">
        <v>59.33</v>
      </c>
      <c r="CS83" s="1">
        <v>59</v>
      </c>
      <c r="CT83" s="1">
        <v>45</v>
      </c>
      <c r="CU83" s="1">
        <v>45</v>
      </c>
      <c r="CV83" s="1">
        <v>44</v>
      </c>
      <c r="CW83" s="1">
        <v>41</v>
      </c>
      <c r="CX83" s="1">
        <v>53</v>
      </c>
      <c r="CY83" s="1">
        <v>53</v>
      </c>
      <c r="CZ83" s="1">
        <v>48</v>
      </c>
      <c r="DA83" s="1">
        <v>0</v>
      </c>
    </row>
    <row r="84" spans="1:105" x14ac:dyDescent="0.15">
      <c r="A84" s="1" t="s">
        <v>63</v>
      </c>
      <c r="B84" s="1" t="s">
        <v>441</v>
      </c>
      <c r="C84" s="1">
        <v>1</v>
      </c>
      <c r="D84" s="1">
        <v>13</v>
      </c>
      <c r="E84" s="1">
        <v>49</v>
      </c>
      <c r="F84" s="1">
        <v>127</v>
      </c>
      <c r="G84" s="1">
        <v>105</v>
      </c>
      <c r="H84" s="1">
        <v>22</v>
      </c>
      <c r="I84" s="1">
        <v>64</v>
      </c>
      <c r="J84" s="1">
        <v>60</v>
      </c>
      <c r="K84" s="1">
        <v>41</v>
      </c>
      <c r="L84" s="1">
        <v>60</v>
      </c>
      <c r="M84" s="1">
        <v>120</v>
      </c>
      <c r="N84" s="1">
        <v>116</v>
      </c>
      <c r="O84" s="1">
        <v>60</v>
      </c>
      <c r="P84" s="1">
        <v>61</v>
      </c>
      <c r="Q84" s="1">
        <v>28</v>
      </c>
      <c r="R84" s="1">
        <v>55</v>
      </c>
      <c r="S84" s="1">
        <v>116</v>
      </c>
      <c r="T84" s="1">
        <v>112</v>
      </c>
      <c r="U84" s="1">
        <v>236</v>
      </c>
      <c r="V84" s="1">
        <v>116</v>
      </c>
      <c r="W84" s="1">
        <v>120</v>
      </c>
      <c r="X84" s="1">
        <v>28</v>
      </c>
      <c r="Y84" s="1">
        <v>0</v>
      </c>
      <c r="Z84" s="1">
        <v>28</v>
      </c>
      <c r="AA84" s="1">
        <v>8</v>
      </c>
      <c r="AB84" s="1">
        <v>120</v>
      </c>
      <c r="AC84" s="1">
        <v>66</v>
      </c>
      <c r="AD84" s="1">
        <v>9</v>
      </c>
      <c r="AE84" s="1">
        <v>17</v>
      </c>
      <c r="AF84" s="1">
        <v>92</v>
      </c>
      <c r="AG84" s="1">
        <v>19</v>
      </c>
      <c r="AH84" s="1">
        <v>55</v>
      </c>
      <c r="AI84" s="1">
        <v>63</v>
      </c>
      <c r="AJ84" s="1">
        <v>46</v>
      </c>
      <c r="AK84" s="1">
        <v>5</v>
      </c>
      <c r="AL84" s="1">
        <v>10</v>
      </c>
      <c r="AM84" s="1">
        <v>12</v>
      </c>
      <c r="AN84" s="1">
        <v>27</v>
      </c>
      <c r="AO84" s="1">
        <v>44</v>
      </c>
      <c r="AP84" s="1">
        <v>8</v>
      </c>
      <c r="AQ84" s="1">
        <v>34</v>
      </c>
      <c r="AR84" s="1">
        <v>11</v>
      </c>
      <c r="AS84" s="1">
        <v>51</v>
      </c>
      <c r="AT84" s="1">
        <v>13</v>
      </c>
      <c r="AU84" s="1">
        <v>36</v>
      </c>
      <c r="AV84" s="1">
        <v>14</v>
      </c>
      <c r="AW84" s="1">
        <v>43</v>
      </c>
      <c r="AX84" s="1">
        <v>13</v>
      </c>
      <c r="AY84" s="1">
        <v>31</v>
      </c>
      <c r="AZ84" s="1">
        <v>6</v>
      </c>
      <c r="BA84" s="1">
        <v>12</v>
      </c>
      <c r="BB84" s="1">
        <v>12</v>
      </c>
      <c r="BC84" s="1">
        <v>30</v>
      </c>
      <c r="BD84" s="1">
        <v>50</v>
      </c>
      <c r="BE84" s="1">
        <v>12</v>
      </c>
      <c r="BF84" s="1">
        <v>59</v>
      </c>
      <c r="BG84" s="1">
        <v>13</v>
      </c>
      <c r="BH84" s="1">
        <v>13</v>
      </c>
      <c r="BI84" s="1">
        <v>8</v>
      </c>
      <c r="BJ84" s="1">
        <v>34</v>
      </c>
      <c r="BK84" s="1">
        <v>35</v>
      </c>
      <c r="BL84" s="1">
        <v>18</v>
      </c>
      <c r="BM84" s="1">
        <v>38</v>
      </c>
      <c r="BN84" s="1">
        <v>91</v>
      </c>
      <c r="BO84" s="1">
        <v>45</v>
      </c>
      <c r="BP84" s="1">
        <v>3.4</v>
      </c>
      <c r="BQ84" s="1">
        <v>2.61</v>
      </c>
      <c r="BR84" s="1">
        <v>1.84</v>
      </c>
      <c r="BS84" s="1">
        <v>2.62</v>
      </c>
      <c r="BT84" s="1">
        <v>43</v>
      </c>
      <c r="BU84" s="1">
        <v>0</v>
      </c>
      <c r="BV84" s="1">
        <v>44.87</v>
      </c>
      <c r="BW84" s="1">
        <v>12</v>
      </c>
      <c r="BX84" s="1">
        <v>52.04</v>
      </c>
      <c r="BY84" s="1">
        <v>352.99</v>
      </c>
      <c r="BZ84" s="1">
        <v>42.99</v>
      </c>
      <c r="CA84" s="1">
        <v>6.25</v>
      </c>
      <c r="CB84" s="1">
        <v>55.98</v>
      </c>
      <c r="CC84" s="1">
        <v>8.7100000000000009</v>
      </c>
      <c r="CD84" s="1">
        <v>54.92</v>
      </c>
      <c r="CE84" s="1">
        <v>0.76</v>
      </c>
      <c r="CF84" s="1">
        <v>52.64</v>
      </c>
      <c r="CG84" s="1">
        <v>0.22</v>
      </c>
      <c r="CH84" s="1">
        <v>45.21</v>
      </c>
      <c r="CI84" s="1">
        <v>0</v>
      </c>
      <c r="CJ84" s="1">
        <v>46.79</v>
      </c>
      <c r="CK84" s="1">
        <v>0</v>
      </c>
      <c r="CL84" s="1">
        <v>51.23</v>
      </c>
      <c r="CM84" s="1">
        <v>0.1</v>
      </c>
      <c r="CN84" s="1">
        <v>66.13</v>
      </c>
      <c r="CO84" s="1">
        <v>0.11</v>
      </c>
      <c r="CP84" s="1">
        <v>68.709999999999994</v>
      </c>
      <c r="CQ84" s="1">
        <v>0.08</v>
      </c>
      <c r="CR84" s="1">
        <v>55.27</v>
      </c>
      <c r="CS84" s="1">
        <v>46</v>
      </c>
      <c r="CT84" s="1">
        <v>43</v>
      </c>
      <c r="CU84" s="1">
        <v>38</v>
      </c>
      <c r="CV84" s="1">
        <v>44</v>
      </c>
      <c r="CW84" s="1">
        <v>50</v>
      </c>
      <c r="CX84" s="1">
        <v>31</v>
      </c>
      <c r="CY84" s="1">
        <v>45</v>
      </c>
      <c r="CZ84" s="1">
        <v>38</v>
      </c>
      <c r="DA84" s="1">
        <v>0</v>
      </c>
    </row>
    <row r="85" spans="1:105" x14ac:dyDescent="0.15">
      <c r="A85" s="1" t="s">
        <v>61</v>
      </c>
      <c r="B85" s="1" t="s">
        <v>474</v>
      </c>
      <c r="C85" s="1">
        <v>2</v>
      </c>
      <c r="D85" s="1">
        <v>11</v>
      </c>
      <c r="E85" s="1">
        <v>10</v>
      </c>
      <c r="F85" s="1">
        <v>64</v>
      </c>
      <c r="G85" s="1">
        <v>83</v>
      </c>
      <c r="H85" s="1">
        <v>-19</v>
      </c>
      <c r="I85" s="1">
        <v>33</v>
      </c>
      <c r="J85" s="1">
        <v>25</v>
      </c>
      <c r="K85" s="1">
        <v>29</v>
      </c>
      <c r="L85" s="1">
        <v>39</v>
      </c>
      <c r="M85" s="1">
        <v>64</v>
      </c>
      <c r="N85" s="1">
        <v>74</v>
      </c>
      <c r="O85" s="1">
        <v>18</v>
      </c>
      <c r="P85" s="1">
        <v>36</v>
      </c>
      <c r="Q85" s="1">
        <v>19</v>
      </c>
      <c r="R85" s="1">
        <v>41</v>
      </c>
      <c r="S85" s="1">
        <v>77</v>
      </c>
      <c r="T85" s="1">
        <v>83</v>
      </c>
      <c r="U85" s="1">
        <v>141</v>
      </c>
      <c r="V85" s="1">
        <v>76</v>
      </c>
      <c r="W85" s="1">
        <v>120</v>
      </c>
      <c r="X85" s="1">
        <v>28</v>
      </c>
      <c r="Y85" s="1">
        <v>1</v>
      </c>
      <c r="Z85" s="1">
        <v>27</v>
      </c>
      <c r="AA85" s="1">
        <v>8</v>
      </c>
      <c r="AB85" s="1">
        <v>120</v>
      </c>
      <c r="AC85" s="1">
        <v>53</v>
      </c>
      <c r="AD85" s="1">
        <v>7</v>
      </c>
      <c r="AE85" s="1">
        <v>15</v>
      </c>
      <c r="AF85" s="1">
        <v>86</v>
      </c>
      <c r="AG85" s="1">
        <v>39</v>
      </c>
      <c r="AH85" s="1">
        <v>35</v>
      </c>
      <c r="AI85" s="1">
        <v>47</v>
      </c>
      <c r="AJ85" s="1">
        <v>35</v>
      </c>
      <c r="AK85" s="1">
        <v>5</v>
      </c>
      <c r="AL85" s="1">
        <v>7</v>
      </c>
      <c r="AM85" s="1">
        <v>8</v>
      </c>
      <c r="AN85" s="1">
        <v>20</v>
      </c>
      <c r="AO85" s="1">
        <v>33</v>
      </c>
      <c r="AP85" s="1">
        <v>9</v>
      </c>
      <c r="AQ85" s="1">
        <v>45</v>
      </c>
      <c r="AR85" s="1">
        <v>11</v>
      </c>
      <c r="AS85" s="1">
        <v>50</v>
      </c>
      <c r="AT85" s="1">
        <v>10</v>
      </c>
      <c r="AU85" s="1">
        <v>29</v>
      </c>
      <c r="AV85" s="1">
        <v>5</v>
      </c>
      <c r="AW85" s="1">
        <v>18</v>
      </c>
      <c r="AX85" s="1">
        <v>15</v>
      </c>
      <c r="AY85" s="1">
        <v>39</v>
      </c>
      <c r="AZ85" s="1">
        <v>4</v>
      </c>
      <c r="BA85" s="1">
        <v>8</v>
      </c>
      <c r="BB85" s="1">
        <v>11</v>
      </c>
      <c r="BC85" s="1">
        <v>23</v>
      </c>
      <c r="BD85" s="1">
        <v>43</v>
      </c>
      <c r="BE85" s="1">
        <v>8</v>
      </c>
      <c r="BF85" s="1">
        <v>38</v>
      </c>
      <c r="BG85" s="1">
        <v>9</v>
      </c>
      <c r="BH85" s="1">
        <v>5</v>
      </c>
      <c r="BI85" s="1">
        <v>6</v>
      </c>
      <c r="BJ85" s="1">
        <v>20</v>
      </c>
      <c r="BK85" s="1">
        <v>28</v>
      </c>
      <c r="BL85" s="1">
        <v>16</v>
      </c>
      <c r="BM85" s="1">
        <v>36</v>
      </c>
      <c r="BN85" s="1">
        <v>68</v>
      </c>
      <c r="BO85" s="1">
        <v>17</v>
      </c>
      <c r="BP85" s="1">
        <v>2.12</v>
      </c>
      <c r="BQ85" s="1">
        <v>1.05</v>
      </c>
      <c r="BR85" s="1">
        <v>0.42</v>
      </c>
      <c r="BS85" s="1">
        <v>1.2</v>
      </c>
      <c r="BT85" s="1">
        <v>23</v>
      </c>
      <c r="BU85" s="1">
        <v>7</v>
      </c>
      <c r="BV85" s="1">
        <v>62</v>
      </c>
      <c r="BW85" s="1">
        <v>19</v>
      </c>
      <c r="BX85" s="1">
        <v>62.87</v>
      </c>
      <c r="BY85" s="1">
        <v>374.92</v>
      </c>
      <c r="BZ85" s="1">
        <v>46.96</v>
      </c>
      <c r="CA85" s="1">
        <v>6.9</v>
      </c>
      <c r="CB85" s="1">
        <v>59.34</v>
      </c>
      <c r="CC85" s="1">
        <v>11.07</v>
      </c>
      <c r="CD85" s="1">
        <v>59.71</v>
      </c>
      <c r="CE85" s="1">
        <v>0.2</v>
      </c>
      <c r="CF85" s="1">
        <v>64.98</v>
      </c>
      <c r="CG85" s="1">
        <v>0.98</v>
      </c>
      <c r="CH85" s="1">
        <v>51.25</v>
      </c>
      <c r="CI85" s="1">
        <v>1</v>
      </c>
      <c r="CJ85" s="1">
        <v>54.98</v>
      </c>
      <c r="CK85" s="1">
        <v>-0.02</v>
      </c>
      <c r="CL85" s="1">
        <v>41.67</v>
      </c>
      <c r="CM85" s="1">
        <v>-0.05</v>
      </c>
      <c r="CN85" s="1">
        <v>44.44</v>
      </c>
      <c r="CO85" s="1">
        <v>0.05</v>
      </c>
      <c r="CP85" s="1">
        <v>47.27</v>
      </c>
      <c r="CQ85" s="1">
        <v>-0.1</v>
      </c>
      <c r="CR85" s="1">
        <v>37.99</v>
      </c>
      <c r="CS85" s="1">
        <v>30</v>
      </c>
      <c r="CT85" s="1">
        <v>23</v>
      </c>
      <c r="CU85" s="1">
        <v>18</v>
      </c>
      <c r="CV85" s="1">
        <v>33</v>
      </c>
      <c r="CW85" s="1">
        <v>43</v>
      </c>
      <c r="CX85" s="1">
        <v>39</v>
      </c>
      <c r="CY85" s="1">
        <v>17</v>
      </c>
      <c r="CZ85" s="1">
        <v>16</v>
      </c>
      <c r="DA85" s="1">
        <v>0</v>
      </c>
    </row>
    <row r="86" spans="1:105" x14ac:dyDescent="0.15">
      <c r="A86" s="1" t="s">
        <v>69</v>
      </c>
      <c r="B86" s="1" t="s">
        <v>475</v>
      </c>
      <c r="C86" s="1">
        <v>1</v>
      </c>
      <c r="D86" s="1">
        <v>14</v>
      </c>
      <c r="E86" s="1">
        <v>46</v>
      </c>
      <c r="F86" s="1">
        <v>119</v>
      </c>
      <c r="G86" s="1">
        <v>105</v>
      </c>
      <c r="H86" s="1">
        <v>14</v>
      </c>
      <c r="I86" s="1">
        <v>64</v>
      </c>
      <c r="J86" s="1">
        <v>56</v>
      </c>
      <c r="K86" s="1">
        <v>42</v>
      </c>
      <c r="L86" s="1">
        <v>61</v>
      </c>
      <c r="M86" s="1">
        <v>117</v>
      </c>
      <c r="N86" s="1">
        <v>113</v>
      </c>
      <c r="O86" s="1">
        <v>53</v>
      </c>
      <c r="P86" s="1">
        <v>59</v>
      </c>
      <c r="Q86" s="1">
        <v>30</v>
      </c>
      <c r="R86" s="1">
        <v>62</v>
      </c>
      <c r="S86" s="1">
        <v>121</v>
      </c>
      <c r="T86" s="1">
        <v>118</v>
      </c>
      <c r="U86" s="1">
        <v>231</v>
      </c>
      <c r="V86" s="1">
        <v>114</v>
      </c>
      <c r="W86" s="1">
        <v>120</v>
      </c>
      <c r="X86" s="1">
        <v>20</v>
      </c>
      <c r="Y86" s="1">
        <v>0</v>
      </c>
      <c r="Z86" s="1">
        <v>20</v>
      </c>
      <c r="AA86" s="1">
        <v>5</v>
      </c>
      <c r="AB86" s="1">
        <v>120</v>
      </c>
      <c r="AC86" s="1">
        <v>57</v>
      </c>
      <c r="AD86" s="1">
        <v>8</v>
      </c>
      <c r="AE86" s="1">
        <v>13</v>
      </c>
      <c r="AF86" s="1">
        <v>81</v>
      </c>
      <c r="AG86" s="1">
        <v>37</v>
      </c>
      <c r="AH86" s="1">
        <v>37</v>
      </c>
      <c r="AI86" s="1">
        <v>55</v>
      </c>
      <c r="AJ86" s="1">
        <v>48</v>
      </c>
      <c r="AK86" s="1">
        <v>6</v>
      </c>
      <c r="AL86" s="1">
        <v>7</v>
      </c>
      <c r="AM86" s="1">
        <v>9</v>
      </c>
      <c r="AN86" s="1">
        <v>22</v>
      </c>
      <c r="AO86" s="1">
        <v>38</v>
      </c>
      <c r="AP86" s="1">
        <v>6</v>
      </c>
      <c r="AQ86" s="1">
        <v>31</v>
      </c>
      <c r="AR86" s="1">
        <v>10</v>
      </c>
      <c r="AS86" s="1">
        <v>42</v>
      </c>
      <c r="AT86" s="1">
        <v>17</v>
      </c>
      <c r="AU86" s="1">
        <v>49</v>
      </c>
      <c r="AV86" s="1">
        <v>22</v>
      </c>
      <c r="AW86" s="1">
        <v>66</v>
      </c>
      <c r="AX86" s="1">
        <v>26</v>
      </c>
      <c r="AY86" s="1">
        <v>64</v>
      </c>
      <c r="AZ86" s="1">
        <v>6</v>
      </c>
      <c r="BA86" s="1">
        <v>9</v>
      </c>
      <c r="BB86" s="1">
        <v>9</v>
      </c>
      <c r="BC86" s="1">
        <v>24</v>
      </c>
      <c r="BD86" s="1">
        <v>46</v>
      </c>
      <c r="BE86" s="1">
        <v>9</v>
      </c>
      <c r="BF86" s="1">
        <v>46</v>
      </c>
      <c r="BG86" s="1">
        <v>15</v>
      </c>
      <c r="BH86" s="1">
        <v>10</v>
      </c>
      <c r="BI86" s="1">
        <v>11</v>
      </c>
      <c r="BJ86" s="1">
        <v>36</v>
      </c>
      <c r="BK86" s="1">
        <v>40</v>
      </c>
      <c r="BL86" s="1">
        <v>12</v>
      </c>
      <c r="BM86" s="1">
        <v>29</v>
      </c>
      <c r="BN86" s="1">
        <v>88</v>
      </c>
      <c r="BO86" s="1">
        <v>40</v>
      </c>
      <c r="BP86" s="1">
        <v>3.62</v>
      </c>
      <c r="BQ86" s="1">
        <v>3.4</v>
      </c>
      <c r="BR86" s="1">
        <v>1.92</v>
      </c>
      <c r="BS86" s="1">
        <v>2.98</v>
      </c>
      <c r="BT86" s="1">
        <v>49</v>
      </c>
      <c r="BU86" s="1">
        <v>3</v>
      </c>
      <c r="BV86" s="1">
        <v>52.1</v>
      </c>
      <c r="BW86" s="1">
        <v>4</v>
      </c>
      <c r="BX86" s="1">
        <v>38.04</v>
      </c>
      <c r="BY86" s="1">
        <v>462.47</v>
      </c>
      <c r="BZ86" s="1">
        <v>64.400000000000006</v>
      </c>
      <c r="CA86" s="1">
        <v>7.28</v>
      </c>
      <c r="CB86" s="1">
        <v>63.92</v>
      </c>
      <c r="CC86" s="1">
        <v>5.77</v>
      </c>
      <c r="CD86" s="1">
        <v>49.26</v>
      </c>
      <c r="CE86" s="1">
        <v>1.51</v>
      </c>
      <c r="CF86" s="1">
        <v>34.119999999999997</v>
      </c>
      <c r="CG86" s="1">
        <v>2.31</v>
      </c>
      <c r="CH86" s="1">
        <v>60.72</v>
      </c>
      <c r="CI86" s="1">
        <v>0</v>
      </c>
      <c r="CJ86" s="1">
        <v>45.77</v>
      </c>
      <c r="CK86" s="1">
        <v>0.08</v>
      </c>
      <c r="CL86" s="1">
        <v>87.72</v>
      </c>
      <c r="CM86" s="1">
        <v>0.18</v>
      </c>
      <c r="CN86" s="1">
        <v>89.95</v>
      </c>
      <c r="CO86" s="1">
        <v>0.05</v>
      </c>
      <c r="CP86" s="1">
        <v>52.44</v>
      </c>
      <c r="CQ86" s="1">
        <v>0.12</v>
      </c>
      <c r="CR86" s="1">
        <v>64.58</v>
      </c>
      <c r="CS86" s="1">
        <v>34</v>
      </c>
      <c r="CT86" s="1">
        <v>49</v>
      </c>
      <c r="CU86" s="1">
        <v>59</v>
      </c>
      <c r="CV86" s="1">
        <v>38</v>
      </c>
      <c r="CW86" s="1">
        <v>46</v>
      </c>
      <c r="CX86" s="1">
        <v>64</v>
      </c>
      <c r="CY86" s="1">
        <v>40</v>
      </c>
      <c r="CZ86" s="1">
        <v>46</v>
      </c>
      <c r="DA86" s="1">
        <v>0</v>
      </c>
    </row>
    <row r="87" spans="1:105" x14ac:dyDescent="0.15">
      <c r="A87" s="1" t="s">
        <v>67</v>
      </c>
      <c r="B87" s="1" t="s">
        <v>476</v>
      </c>
      <c r="C87" s="1">
        <v>1</v>
      </c>
      <c r="D87" s="1">
        <v>13</v>
      </c>
      <c r="E87" s="1">
        <v>29</v>
      </c>
      <c r="F87" s="1">
        <v>93</v>
      </c>
      <c r="G87" s="1">
        <v>105</v>
      </c>
      <c r="H87" s="1">
        <v>-12</v>
      </c>
      <c r="I87" s="1">
        <v>54</v>
      </c>
      <c r="J87" s="1">
        <v>48</v>
      </c>
      <c r="K87" s="1">
        <v>32</v>
      </c>
      <c r="L87" s="1">
        <v>44</v>
      </c>
      <c r="M87" s="1">
        <v>92</v>
      </c>
      <c r="N87" s="1">
        <v>94</v>
      </c>
      <c r="O87" s="1">
        <v>68</v>
      </c>
      <c r="P87" s="1">
        <v>66</v>
      </c>
      <c r="Q87" s="1">
        <v>27</v>
      </c>
      <c r="R87" s="1">
        <v>53</v>
      </c>
      <c r="S87" s="1">
        <v>119</v>
      </c>
      <c r="T87" s="1">
        <v>116</v>
      </c>
      <c r="U87" s="1">
        <v>211</v>
      </c>
      <c r="V87" s="1">
        <v>105</v>
      </c>
      <c r="W87" s="1">
        <v>120</v>
      </c>
      <c r="X87" s="1">
        <v>25</v>
      </c>
      <c r="Y87" s="1">
        <v>0</v>
      </c>
      <c r="Z87" s="1">
        <v>25</v>
      </c>
      <c r="AA87" s="1">
        <v>7</v>
      </c>
      <c r="AB87" s="1">
        <v>120</v>
      </c>
      <c r="AC87" s="1">
        <v>56</v>
      </c>
      <c r="AD87" s="1">
        <v>7</v>
      </c>
      <c r="AE87" s="1">
        <v>14</v>
      </c>
      <c r="AF87" s="1">
        <v>84</v>
      </c>
      <c r="AG87" s="1">
        <v>24</v>
      </c>
      <c r="AH87" s="1">
        <v>47</v>
      </c>
      <c r="AI87" s="1">
        <v>48</v>
      </c>
      <c r="AJ87" s="1">
        <v>34</v>
      </c>
      <c r="AK87" s="1">
        <v>7</v>
      </c>
      <c r="AL87" s="1">
        <v>10</v>
      </c>
      <c r="AM87" s="1">
        <v>11</v>
      </c>
      <c r="AN87" s="1">
        <v>28</v>
      </c>
      <c r="AO87" s="1">
        <v>48</v>
      </c>
      <c r="AP87" s="1">
        <v>10</v>
      </c>
      <c r="AQ87" s="1">
        <v>47</v>
      </c>
      <c r="AR87" s="1">
        <v>12</v>
      </c>
      <c r="AS87" s="1">
        <v>58</v>
      </c>
      <c r="AT87" s="1">
        <v>15</v>
      </c>
      <c r="AU87" s="1">
        <v>39</v>
      </c>
      <c r="AV87" s="1">
        <v>16</v>
      </c>
      <c r="AW87" s="1">
        <v>47</v>
      </c>
      <c r="AX87" s="1">
        <v>24</v>
      </c>
      <c r="AY87" s="1">
        <v>50</v>
      </c>
      <c r="AZ87" s="1">
        <v>9</v>
      </c>
      <c r="BA87" s="1">
        <v>10</v>
      </c>
      <c r="BB87" s="1">
        <v>11</v>
      </c>
      <c r="BC87" s="1">
        <v>30</v>
      </c>
      <c r="BD87" s="1">
        <v>50</v>
      </c>
      <c r="BE87" s="1">
        <v>10</v>
      </c>
      <c r="BF87" s="1">
        <v>45</v>
      </c>
      <c r="BG87" s="1">
        <v>11</v>
      </c>
      <c r="BH87" s="1">
        <v>3</v>
      </c>
      <c r="BI87" s="1">
        <v>8</v>
      </c>
      <c r="BJ87" s="1">
        <v>22</v>
      </c>
      <c r="BK87" s="1">
        <v>26</v>
      </c>
      <c r="BL87" s="1">
        <v>17</v>
      </c>
      <c r="BM87" s="1">
        <v>37</v>
      </c>
      <c r="BN87" s="1">
        <v>110</v>
      </c>
      <c r="BO87" s="1">
        <v>68</v>
      </c>
      <c r="BP87" s="1">
        <v>3.62</v>
      </c>
      <c r="BQ87" s="1">
        <v>3.96</v>
      </c>
      <c r="BR87" s="1">
        <v>0.96</v>
      </c>
      <c r="BS87" s="1">
        <v>2.85</v>
      </c>
      <c r="BT87" s="1">
        <v>45</v>
      </c>
      <c r="BU87" s="1">
        <v>2</v>
      </c>
      <c r="BV87" s="1">
        <v>46.88</v>
      </c>
      <c r="BW87" s="1">
        <v>12</v>
      </c>
      <c r="BX87" s="1">
        <v>47.03</v>
      </c>
      <c r="BY87" s="1">
        <v>365.95</v>
      </c>
      <c r="BZ87" s="1">
        <v>47.92</v>
      </c>
      <c r="CA87" s="1">
        <v>6.28</v>
      </c>
      <c r="CB87" s="1">
        <v>55.15</v>
      </c>
      <c r="CC87" s="1">
        <v>6.46</v>
      </c>
      <c r="CD87" s="1">
        <v>48.47</v>
      </c>
      <c r="CE87" s="1">
        <v>0.85</v>
      </c>
      <c r="CF87" s="1">
        <v>45.82</v>
      </c>
      <c r="CG87" s="1">
        <v>0.32</v>
      </c>
      <c r="CH87" s="1">
        <v>45.27</v>
      </c>
      <c r="CI87" s="1">
        <v>1</v>
      </c>
      <c r="CJ87" s="1">
        <v>50.91</v>
      </c>
      <c r="CK87" s="1">
        <v>0</v>
      </c>
      <c r="CL87" s="1">
        <v>49.64</v>
      </c>
      <c r="CM87" s="1">
        <v>0.05</v>
      </c>
      <c r="CN87" s="1">
        <v>56.02</v>
      </c>
      <c r="CO87" s="1">
        <v>0.12</v>
      </c>
      <c r="CP87" s="1">
        <v>70.31</v>
      </c>
      <c r="CQ87" s="1">
        <v>0.01</v>
      </c>
      <c r="CR87" s="1">
        <v>49.82</v>
      </c>
      <c r="CS87" s="1">
        <v>36</v>
      </c>
      <c r="CT87" s="1">
        <v>45</v>
      </c>
      <c r="CU87" s="1">
        <v>41</v>
      </c>
      <c r="CV87" s="1">
        <v>48</v>
      </c>
      <c r="CW87" s="1">
        <v>50</v>
      </c>
      <c r="CX87" s="1">
        <v>50</v>
      </c>
      <c r="CY87" s="1">
        <v>68</v>
      </c>
      <c r="CZ87" s="1">
        <v>47</v>
      </c>
      <c r="DA87" s="1">
        <v>0</v>
      </c>
    </row>
    <row r="88" spans="1:105" x14ac:dyDescent="0.15">
      <c r="A88" s="1" t="s">
        <v>71</v>
      </c>
      <c r="B88" s="1" t="s">
        <v>74</v>
      </c>
      <c r="C88" s="1">
        <v>2</v>
      </c>
      <c r="D88" s="1">
        <v>13</v>
      </c>
      <c r="E88" s="1">
        <v>33</v>
      </c>
      <c r="F88" s="1">
        <v>99</v>
      </c>
      <c r="G88" s="1">
        <v>91</v>
      </c>
      <c r="H88" s="1">
        <v>8</v>
      </c>
      <c r="I88" s="1">
        <v>67</v>
      </c>
      <c r="J88" s="1">
        <v>59</v>
      </c>
      <c r="K88" s="1">
        <v>30</v>
      </c>
      <c r="L88" s="1">
        <v>44</v>
      </c>
      <c r="M88" s="1">
        <v>103</v>
      </c>
      <c r="N88" s="1">
        <v>102</v>
      </c>
      <c r="O88" s="1">
        <v>20</v>
      </c>
      <c r="P88" s="1">
        <v>40</v>
      </c>
      <c r="Q88" s="1">
        <v>14</v>
      </c>
      <c r="R88" s="1">
        <v>39</v>
      </c>
      <c r="S88" s="1">
        <v>79</v>
      </c>
      <c r="T88" s="1">
        <v>84</v>
      </c>
      <c r="U88" s="1">
        <v>182</v>
      </c>
      <c r="V88" s="1">
        <v>92</v>
      </c>
      <c r="W88" s="1">
        <v>120</v>
      </c>
      <c r="X88" s="1">
        <v>19</v>
      </c>
      <c r="Y88" s="1">
        <v>0</v>
      </c>
      <c r="Z88" s="1">
        <v>19</v>
      </c>
      <c r="AA88" s="1">
        <v>5</v>
      </c>
      <c r="AB88" s="1">
        <v>120</v>
      </c>
      <c r="AC88" s="1">
        <v>42</v>
      </c>
      <c r="AD88" s="1">
        <v>6</v>
      </c>
      <c r="AE88" s="1">
        <v>11</v>
      </c>
      <c r="AF88" s="1">
        <v>76</v>
      </c>
      <c r="AG88" s="1">
        <v>59</v>
      </c>
      <c r="AH88" s="1">
        <v>25</v>
      </c>
      <c r="AI88" s="1">
        <v>32</v>
      </c>
      <c r="AJ88" s="1">
        <v>29</v>
      </c>
      <c r="AK88" s="1">
        <v>7</v>
      </c>
      <c r="AL88" s="1">
        <v>8</v>
      </c>
      <c r="AM88" s="1">
        <v>10</v>
      </c>
      <c r="AN88" s="1">
        <v>25</v>
      </c>
      <c r="AO88" s="1">
        <v>44</v>
      </c>
      <c r="AP88" s="1">
        <v>5</v>
      </c>
      <c r="AQ88" s="1">
        <v>21</v>
      </c>
      <c r="AR88" s="1">
        <v>11</v>
      </c>
      <c r="AS88" s="1">
        <v>51</v>
      </c>
      <c r="AT88" s="1">
        <v>9</v>
      </c>
      <c r="AU88" s="1">
        <v>26</v>
      </c>
      <c r="AV88" s="1">
        <v>12</v>
      </c>
      <c r="AW88" s="1">
        <v>38</v>
      </c>
      <c r="AX88" s="1">
        <v>3</v>
      </c>
      <c r="AY88" s="1">
        <v>31</v>
      </c>
      <c r="AZ88" s="1">
        <v>6</v>
      </c>
      <c r="BA88" s="1">
        <v>5</v>
      </c>
      <c r="BB88" s="1">
        <v>7</v>
      </c>
      <c r="BC88" s="1">
        <v>18</v>
      </c>
      <c r="BD88" s="1">
        <v>42</v>
      </c>
      <c r="BE88" s="1">
        <v>9</v>
      </c>
      <c r="BF88" s="1">
        <v>50</v>
      </c>
      <c r="BG88" s="1">
        <v>15</v>
      </c>
      <c r="BH88" s="1">
        <v>15</v>
      </c>
      <c r="BI88" s="1">
        <v>18</v>
      </c>
      <c r="BJ88" s="1">
        <v>48</v>
      </c>
      <c r="BK88" s="1">
        <v>51</v>
      </c>
      <c r="BL88" s="1">
        <v>18</v>
      </c>
      <c r="BM88" s="1">
        <v>41</v>
      </c>
      <c r="BN88" s="1">
        <v>105</v>
      </c>
      <c r="BO88" s="1">
        <v>58</v>
      </c>
      <c r="BP88" s="1">
        <v>0.98</v>
      </c>
      <c r="BQ88" s="1">
        <v>1.7000000000000002</v>
      </c>
      <c r="BR88" s="1">
        <v>0.60000000000000009</v>
      </c>
      <c r="BS88" s="1">
        <v>1.0900000000000001</v>
      </c>
      <c r="BT88" s="1">
        <v>21</v>
      </c>
      <c r="BU88" s="1">
        <v>1</v>
      </c>
      <c r="BV88" s="1">
        <v>45.43</v>
      </c>
      <c r="BW88" s="1">
        <v>12</v>
      </c>
      <c r="BX88" s="1">
        <v>47.35</v>
      </c>
      <c r="BY88" s="1">
        <v>435.7</v>
      </c>
      <c r="BZ88" s="1">
        <v>59.69</v>
      </c>
      <c r="CA88" s="1">
        <v>4.22</v>
      </c>
      <c r="CB88" s="1">
        <v>42.6</v>
      </c>
      <c r="CC88" s="1">
        <v>5.2</v>
      </c>
      <c r="CD88" s="1">
        <v>46.63</v>
      </c>
      <c r="CE88" s="1">
        <v>0.53</v>
      </c>
      <c r="CF88" s="1">
        <v>53.27</v>
      </c>
      <c r="CG88" s="1">
        <v>0.7</v>
      </c>
      <c r="CH88" s="1">
        <v>49.26</v>
      </c>
      <c r="CI88" s="1">
        <v>0</v>
      </c>
      <c r="CJ88" s="1">
        <v>45.77</v>
      </c>
      <c r="CK88" s="1">
        <v>-0.01</v>
      </c>
      <c r="CL88" s="1">
        <v>47.49</v>
      </c>
      <c r="CM88" s="1">
        <v>-0.01</v>
      </c>
      <c r="CN88" s="1">
        <v>54.71</v>
      </c>
      <c r="CO88" s="1">
        <v>-0.01</v>
      </c>
      <c r="CP88" s="1">
        <v>30.43</v>
      </c>
      <c r="CQ88" s="1">
        <v>-0.15</v>
      </c>
      <c r="CR88" s="1">
        <v>34.1</v>
      </c>
      <c r="CS88" s="1">
        <v>26</v>
      </c>
      <c r="CT88" s="1">
        <v>21</v>
      </c>
      <c r="CU88" s="1">
        <v>28</v>
      </c>
      <c r="CV88" s="1">
        <v>44</v>
      </c>
      <c r="CW88" s="1">
        <v>42</v>
      </c>
      <c r="CX88" s="1">
        <v>31</v>
      </c>
      <c r="CY88" s="1">
        <v>58</v>
      </c>
      <c r="CZ88" s="1">
        <v>27</v>
      </c>
      <c r="DA88" s="1">
        <v>0</v>
      </c>
    </row>
    <row r="89" spans="1:105" x14ac:dyDescent="0.15">
      <c r="A89" s="1" t="s">
        <v>65</v>
      </c>
      <c r="B89" s="1" t="s">
        <v>477</v>
      </c>
      <c r="C89" s="1">
        <v>1</v>
      </c>
      <c r="D89" s="1">
        <v>17</v>
      </c>
      <c r="E89" s="1">
        <v>47</v>
      </c>
      <c r="F89" s="1">
        <v>123</v>
      </c>
      <c r="G89" s="1">
        <v>116</v>
      </c>
      <c r="H89" s="1">
        <v>7</v>
      </c>
      <c r="I89" s="1">
        <v>62</v>
      </c>
      <c r="J89" s="1">
        <v>58</v>
      </c>
      <c r="K89" s="1">
        <v>39</v>
      </c>
      <c r="L89" s="1">
        <v>57</v>
      </c>
      <c r="M89" s="1">
        <v>115</v>
      </c>
      <c r="N89" s="1">
        <v>111</v>
      </c>
      <c r="O89" s="1">
        <v>59</v>
      </c>
      <c r="P89" s="1">
        <v>60</v>
      </c>
      <c r="Q89" s="1">
        <v>33</v>
      </c>
      <c r="R89" s="1">
        <v>65</v>
      </c>
      <c r="S89" s="1">
        <v>125</v>
      </c>
      <c r="T89" s="1">
        <v>121</v>
      </c>
      <c r="U89" s="1">
        <v>240</v>
      </c>
      <c r="V89" s="1">
        <v>118</v>
      </c>
      <c r="W89" s="1">
        <v>120</v>
      </c>
      <c r="X89" s="1">
        <v>39</v>
      </c>
      <c r="Y89" s="1">
        <v>1</v>
      </c>
      <c r="Z89" s="1">
        <v>38</v>
      </c>
      <c r="AA89" s="1">
        <v>12</v>
      </c>
      <c r="AB89" s="1">
        <v>120</v>
      </c>
      <c r="AC89" s="1">
        <v>74</v>
      </c>
      <c r="AD89" s="1">
        <v>10</v>
      </c>
      <c r="AE89" s="1">
        <v>22</v>
      </c>
      <c r="AF89" s="1">
        <v>105</v>
      </c>
      <c r="AG89" s="1">
        <v>15</v>
      </c>
      <c r="AH89" s="1">
        <v>63</v>
      </c>
      <c r="AI89" s="1">
        <v>50</v>
      </c>
      <c r="AJ89" s="1">
        <v>37</v>
      </c>
      <c r="AK89" s="1">
        <v>8</v>
      </c>
      <c r="AL89" s="1">
        <v>11</v>
      </c>
      <c r="AM89" s="1">
        <v>8</v>
      </c>
      <c r="AN89" s="1">
        <v>27</v>
      </c>
      <c r="AO89" s="1">
        <v>46</v>
      </c>
      <c r="AP89" s="1">
        <v>8</v>
      </c>
      <c r="AQ89" s="1">
        <v>34</v>
      </c>
      <c r="AR89" s="1">
        <v>9</v>
      </c>
      <c r="AS89" s="1">
        <v>36</v>
      </c>
      <c r="AT89" s="1">
        <v>17</v>
      </c>
      <c r="AU89" s="1">
        <v>45</v>
      </c>
      <c r="AV89" s="1">
        <v>17</v>
      </c>
      <c r="AW89" s="1">
        <v>50</v>
      </c>
      <c r="AX89" s="1">
        <v>26</v>
      </c>
      <c r="AY89" s="1">
        <v>58</v>
      </c>
      <c r="AZ89" s="1">
        <v>7</v>
      </c>
      <c r="BA89" s="1">
        <v>8</v>
      </c>
      <c r="BB89" s="1">
        <v>8</v>
      </c>
      <c r="BC89" s="1">
        <v>23</v>
      </c>
      <c r="BD89" s="1">
        <v>38</v>
      </c>
      <c r="BE89" s="1">
        <v>11</v>
      </c>
      <c r="BF89" s="1">
        <v>53</v>
      </c>
      <c r="BG89" s="1">
        <v>12</v>
      </c>
      <c r="BH89" s="1">
        <v>16</v>
      </c>
      <c r="BI89" s="1">
        <v>19</v>
      </c>
      <c r="BJ89" s="1">
        <v>47</v>
      </c>
      <c r="BK89" s="1">
        <v>43</v>
      </c>
      <c r="BL89" s="1">
        <v>15</v>
      </c>
      <c r="BM89" s="1">
        <v>33</v>
      </c>
      <c r="BN89" s="1">
        <v>87</v>
      </c>
      <c r="BO89" s="1">
        <v>41</v>
      </c>
      <c r="BP89" s="1">
        <v>2.23</v>
      </c>
      <c r="BQ89" s="1">
        <v>1.05</v>
      </c>
      <c r="BR89" s="1">
        <v>0.84</v>
      </c>
      <c r="BS89" s="1">
        <v>1.37</v>
      </c>
      <c r="BT89" s="1">
        <v>23</v>
      </c>
      <c r="BU89" s="1">
        <v>49</v>
      </c>
      <c r="BV89" s="1">
        <v>188.47</v>
      </c>
      <c r="BW89" s="1">
        <v>12</v>
      </c>
      <c r="BX89" s="1">
        <v>47.03</v>
      </c>
      <c r="BY89" s="1">
        <v>430.56</v>
      </c>
      <c r="BZ89" s="1">
        <v>57.79</v>
      </c>
      <c r="CA89" s="1">
        <v>13.6</v>
      </c>
      <c r="CB89" s="1">
        <v>78.25</v>
      </c>
      <c r="CC89" s="1">
        <v>22.4</v>
      </c>
      <c r="CD89" s="1">
        <v>71.23</v>
      </c>
      <c r="CE89" s="1">
        <v>0.64</v>
      </c>
      <c r="CF89" s="1">
        <v>50.28</v>
      </c>
      <c r="CG89" s="1">
        <v>3.11</v>
      </c>
      <c r="CH89" s="1">
        <v>75.78</v>
      </c>
      <c r="CI89" s="1">
        <v>0</v>
      </c>
      <c r="CJ89" s="1">
        <v>44.54</v>
      </c>
      <c r="CK89" s="1">
        <v>-0.02</v>
      </c>
      <c r="CL89" s="1">
        <v>40.74</v>
      </c>
      <c r="CM89" s="1">
        <v>0.01</v>
      </c>
      <c r="CN89" s="1">
        <v>50.44</v>
      </c>
      <c r="CO89" s="1">
        <v>0.1</v>
      </c>
      <c r="CP89" s="1">
        <v>62.97</v>
      </c>
      <c r="CQ89" s="1">
        <v>0.12</v>
      </c>
      <c r="CR89" s="1">
        <v>59.88</v>
      </c>
      <c r="CS89" s="1">
        <v>42</v>
      </c>
      <c r="CT89" s="1">
        <v>23</v>
      </c>
      <c r="CU89" s="1">
        <v>47</v>
      </c>
      <c r="CV89" s="1">
        <v>46</v>
      </c>
      <c r="CW89" s="1">
        <v>38</v>
      </c>
      <c r="CX89" s="1">
        <v>58</v>
      </c>
      <c r="CY89" s="1">
        <v>41</v>
      </c>
      <c r="CZ89" s="1">
        <v>37</v>
      </c>
      <c r="DA89" s="1">
        <v>0</v>
      </c>
    </row>
    <row r="90" spans="1:105" x14ac:dyDescent="0.15">
      <c r="A90" s="1" t="s">
        <v>75</v>
      </c>
      <c r="B90" s="1" t="s">
        <v>78</v>
      </c>
      <c r="C90" s="1">
        <v>3</v>
      </c>
      <c r="D90" s="1">
        <v>13</v>
      </c>
      <c r="E90" s="1">
        <v>33</v>
      </c>
      <c r="F90" s="1">
        <v>99</v>
      </c>
      <c r="G90" s="1">
        <v>102</v>
      </c>
      <c r="H90" s="1">
        <v>-3</v>
      </c>
      <c r="I90" s="1">
        <v>61</v>
      </c>
      <c r="J90" s="1">
        <v>52</v>
      </c>
      <c r="K90" s="1">
        <v>31</v>
      </c>
      <c r="L90" s="1">
        <v>45</v>
      </c>
      <c r="M90" s="1">
        <v>97</v>
      </c>
      <c r="N90" s="1">
        <v>98</v>
      </c>
      <c r="O90" s="1">
        <v>46</v>
      </c>
      <c r="P90" s="1">
        <v>55</v>
      </c>
      <c r="Q90" s="1">
        <v>25</v>
      </c>
      <c r="R90" s="1">
        <v>56</v>
      </c>
      <c r="S90" s="1">
        <v>111</v>
      </c>
      <c r="T90" s="1">
        <v>108</v>
      </c>
      <c r="U90" s="1">
        <v>208</v>
      </c>
      <c r="V90" s="1">
        <v>103</v>
      </c>
      <c r="W90" s="1">
        <v>120</v>
      </c>
      <c r="X90" s="1">
        <v>33</v>
      </c>
      <c r="Y90" s="1">
        <v>2</v>
      </c>
      <c r="Z90" s="1">
        <v>31</v>
      </c>
      <c r="AA90" s="1">
        <v>10</v>
      </c>
      <c r="AB90" s="1">
        <v>120</v>
      </c>
      <c r="AC90" s="1">
        <v>45</v>
      </c>
      <c r="AD90" s="1">
        <v>6</v>
      </c>
      <c r="AE90" s="1">
        <v>16</v>
      </c>
      <c r="AF90" s="1">
        <v>89</v>
      </c>
      <c r="AG90" s="1">
        <v>33</v>
      </c>
      <c r="AH90" s="1">
        <v>43</v>
      </c>
      <c r="AI90" s="1">
        <v>37</v>
      </c>
      <c r="AJ90" s="1">
        <v>32</v>
      </c>
      <c r="AK90" s="1">
        <v>4</v>
      </c>
      <c r="AL90" s="1">
        <v>6</v>
      </c>
      <c r="AM90" s="1">
        <v>9</v>
      </c>
      <c r="AN90" s="1">
        <v>19</v>
      </c>
      <c r="AO90" s="1">
        <v>34</v>
      </c>
      <c r="AP90" s="1">
        <v>7</v>
      </c>
      <c r="AQ90" s="1">
        <v>35</v>
      </c>
      <c r="AR90" s="1">
        <v>7</v>
      </c>
      <c r="AS90" s="1">
        <v>20</v>
      </c>
      <c r="AT90" s="1">
        <v>17</v>
      </c>
      <c r="AU90" s="1">
        <v>51</v>
      </c>
      <c r="AV90" s="1">
        <v>9</v>
      </c>
      <c r="AW90" s="1">
        <v>29</v>
      </c>
      <c r="AX90" s="1">
        <v>12</v>
      </c>
      <c r="AY90" s="1">
        <v>38</v>
      </c>
      <c r="AZ90" s="1">
        <v>2</v>
      </c>
      <c r="BA90" s="1">
        <v>4</v>
      </c>
      <c r="BB90" s="1">
        <v>6</v>
      </c>
      <c r="BC90" s="1">
        <v>12</v>
      </c>
      <c r="BD90" s="1">
        <v>30</v>
      </c>
      <c r="BE90" s="1">
        <v>5</v>
      </c>
      <c r="BF90" s="1">
        <v>27</v>
      </c>
      <c r="BG90" s="1">
        <v>11</v>
      </c>
      <c r="BH90" s="1">
        <v>8</v>
      </c>
      <c r="BI90" s="1">
        <v>11</v>
      </c>
      <c r="BJ90" s="1">
        <v>30</v>
      </c>
      <c r="BK90" s="1">
        <v>37</v>
      </c>
      <c r="BL90" s="1">
        <v>23</v>
      </c>
      <c r="BM90" s="1">
        <v>50</v>
      </c>
      <c r="BN90" s="1">
        <v>97</v>
      </c>
      <c r="BO90" s="1">
        <v>50</v>
      </c>
      <c r="BP90" s="1">
        <v>2.81</v>
      </c>
      <c r="BQ90" s="1">
        <v>1.71</v>
      </c>
      <c r="BR90" s="1">
        <v>0.73</v>
      </c>
      <c r="BS90" s="1">
        <v>1.75</v>
      </c>
      <c r="BT90" s="1">
        <v>31</v>
      </c>
      <c r="BU90" s="1">
        <v>3</v>
      </c>
      <c r="BV90" s="1">
        <v>52.1</v>
      </c>
      <c r="BW90" s="1">
        <v>12</v>
      </c>
      <c r="BX90" s="1">
        <v>47.35</v>
      </c>
      <c r="BY90" s="1">
        <v>408.79</v>
      </c>
      <c r="BZ90" s="1">
        <v>54.65</v>
      </c>
      <c r="CA90" s="1">
        <v>6.53</v>
      </c>
      <c r="CB90" s="1">
        <v>59.7</v>
      </c>
      <c r="CC90" s="1">
        <v>8.34</v>
      </c>
      <c r="CD90" s="1">
        <v>58.61</v>
      </c>
      <c r="CE90" s="1">
        <v>0.48</v>
      </c>
      <c r="CF90" s="1">
        <v>54.25</v>
      </c>
      <c r="CG90" s="1">
        <v>1.1200000000000001</v>
      </c>
      <c r="CH90" s="1">
        <v>52.26</v>
      </c>
      <c r="CI90" s="1">
        <v>0</v>
      </c>
      <c r="CJ90" s="1">
        <v>45.77</v>
      </c>
      <c r="CK90" s="1">
        <v>0.02</v>
      </c>
      <c r="CL90" s="1">
        <v>60.61</v>
      </c>
      <c r="CM90" s="1">
        <v>-0.02</v>
      </c>
      <c r="CN90" s="1">
        <v>52.93</v>
      </c>
      <c r="CO90" s="1">
        <v>0.06</v>
      </c>
      <c r="CP90" s="1">
        <v>56.38</v>
      </c>
      <c r="CQ90" s="1">
        <v>-7.0000000000000007E-2</v>
      </c>
      <c r="CR90" s="1">
        <v>42.91</v>
      </c>
      <c r="CS90" s="1">
        <v>39</v>
      </c>
      <c r="CT90" s="1">
        <v>31</v>
      </c>
      <c r="CU90" s="1">
        <v>38</v>
      </c>
      <c r="CV90" s="1">
        <v>34</v>
      </c>
      <c r="CW90" s="1">
        <v>30</v>
      </c>
      <c r="CX90" s="1">
        <v>38</v>
      </c>
      <c r="CY90" s="1">
        <v>50</v>
      </c>
      <c r="CZ90" s="1">
        <v>29</v>
      </c>
      <c r="DA90" s="1">
        <v>0</v>
      </c>
    </row>
    <row r="91" spans="1:105" x14ac:dyDescent="0.15">
      <c r="A91" s="1" t="s">
        <v>37</v>
      </c>
      <c r="B91" s="1" t="s">
        <v>478</v>
      </c>
      <c r="C91" s="1">
        <v>3</v>
      </c>
      <c r="D91" s="1">
        <v>13</v>
      </c>
      <c r="E91" s="1">
        <v>45</v>
      </c>
      <c r="F91" s="1">
        <v>119</v>
      </c>
      <c r="G91" s="1">
        <v>102</v>
      </c>
      <c r="H91" s="1">
        <v>17</v>
      </c>
      <c r="I91" s="1">
        <v>75</v>
      </c>
      <c r="J91" s="1">
        <v>69</v>
      </c>
      <c r="K91" s="1">
        <v>43</v>
      </c>
      <c r="L91" s="1">
        <v>62</v>
      </c>
      <c r="M91" s="1">
        <v>131</v>
      </c>
      <c r="N91" s="1">
        <v>127</v>
      </c>
      <c r="O91" s="1">
        <v>64</v>
      </c>
      <c r="P91" s="1">
        <v>65</v>
      </c>
      <c r="Q91" s="1">
        <v>30</v>
      </c>
      <c r="R91" s="1">
        <v>62</v>
      </c>
      <c r="S91" s="1">
        <v>127</v>
      </c>
      <c r="T91" s="1">
        <v>124</v>
      </c>
      <c r="U91" s="1">
        <v>258</v>
      </c>
      <c r="V91" s="1">
        <v>128</v>
      </c>
      <c r="W91" s="1">
        <v>120</v>
      </c>
      <c r="X91" s="1">
        <v>40</v>
      </c>
      <c r="Y91" s="1">
        <v>0</v>
      </c>
      <c r="Z91" s="1">
        <v>40</v>
      </c>
      <c r="AA91" s="1">
        <v>13</v>
      </c>
      <c r="AB91" s="1">
        <v>120</v>
      </c>
      <c r="AC91" s="1">
        <v>58</v>
      </c>
      <c r="AD91" s="1">
        <v>8</v>
      </c>
      <c r="AE91" s="1">
        <v>21</v>
      </c>
      <c r="AF91" s="1">
        <v>102</v>
      </c>
      <c r="AG91" s="1">
        <v>26</v>
      </c>
      <c r="AH91" s="1">
        <v>47</v>
      </c>
      <c r="AI91" s="1">
        <v>62</v>
      </c>
      <c r="AJ91" s="1">
        <v>53</v>
      </c>
      <c r="AK91" s="1">
        <v>6</v>
      </c>
      <c r="AL91" s="1">
        <v>12</v>
      </c>
      <c r="AM91" s="1">
        <v>12</v>
      </c>
      <c r="AN91" s="1">
        <v>30</v>
      </c>
      <c r="AO91" s="1">
        <v>54</v>
      </c>
      <c r="AP91" s="1">
        <v>10</v>
      </c>
      <c r="AQ91" s="1">
        <v>50</v>
      </c>
      <c r="AR91" s="1">
        <v>12</v>
      </c>
      <c r="AS91" s="1">
        <v>58</v>
      </c>
      <c r="AT91" s="1">
        <v>23</v>
      </c>
      <c r="AU91" s="1">
        <v>67</v>
      </c>
      <c r="AV91" s="1">
        <v>17</v>
      </c>
      <c r="AW91" s="1">
        <v>51</v>
      </c>
      <c r="AX91" s="1">
        <v>26</v>
      </c>
      <c r="AY91" s="1">
        <v>63</v>
      </c>
      <c r="AZ91" s="1">
        <v>2</v>
      </c>
      <c r="BA91" s="1">
        <v>8</v>
      </c>
      <c r="BB91" s="1">
        <v>10</v>
      </c>
      <c r="BC91" s="1">
        <v>20</v>
      </c>
      <c r="BD91" s="1">
        <v>38</v>
      </c>
      <c r="BE91" s="1">
        <v>11</v>
      </c>
      <c r="BF91" s="1">
        <v>56</v>
      </c>
      <c r="BG91" s="1">
        <v>14</v>
      </c>
      <c r="BH91" s="1">
        <v>16</v>
      </c>
      <c r="BI91" s="1">
        <v>20</v>
      </c>
      <c r="BJ91" s="1">
        <v>50</v>
      </c>
      <c r="BK91" s="1">
        <v>47</v>
      </c>
      <c r="BL91" s="1">
        <v>28</v>
      </c>
      <c r="BM91" s="1">
        <v>58</v>
      </c>
      <c r="BN91" s="1">
        <v>94</v>
      </c>
      <c r="BO91" s="1">
        <v>48</v>
      </c>
      <c r="BP91" s="1">
        <v>3.12</v>
      </c>
      <c r="BQ91" s="1">
        <v>2.95</v>
      </c>
      <c r="BR91" s="1">
        <v>2.1800000000000002</v>
      </c>
      <c r="BS91" s="1">
        <v>2.75</v>
      </c>
      <c r="BT91" s="1">
        <v>45</v>
      </c>
      <c r="BU91" s="1">
        <v>0</v>
      </c>
      <c r="BV91" s="1">
        <v>40.86</v>
      </c>
      <c r="BW91" s="1">
        <v>6</v>
      </c>
      <c r="BX91" s="1">
        <v>39.32</v>
      </c>
      <c r="BY91" s="1">
        <v>445.16</v>
      </c>
      <c r="BZ91" s="1">
        <v>59.82</v>
      </c>
      <c r="CA91" s="1">
        <v>7.72</v>
      </c>
      <c r="CB91" s="1">
        <v>61.32</v>
      </c>
      <c r="CC91" s="1">
        <v>13.4</v>
      </c>
      <c r="CD91" s="1">
        <v>61.82</v>
      </c>
      <c r="CE91" s="1">
        <v>1.04</v>
      </c>
      <c r="CF91" s="1">
        <v>41.58</v>
      </c>
      <c r="CG91" s="1">
        <v>0.57000000000000017</v>
      </c>
      <c r="CH91" s="1">
        <v>48.03</v>
      </c>
      <c r="CI91" s="1">
        <v>0</v>
      </c>
      <c r="CJ91" s="1">
        <v>44.54</v>
      </c>
      <c r="CK91" s="1">
        <v>-0.03</v>
      </c>
      <c r="CL91" s="1">
        <v>39.270000000000003</v>
      </c>
      <c r="CM91" s="1">
        <v>0.05</v>
      </c>
      <c r="CN91" s="1">
        <v>55.38</v>
      </c>
      <c r="CO91" s="1">
        <v>0.04</v>
      </c>
      <c r="CP91" s="1">
        <v>46.43</v>
      </c>
      <c r="CQ91" s="1">
        <v>-0.01</v>
      </c>
      <c r="CR91" s="1">
        <v>48.15</v>
      </c>
      <c r="CS91" s="1">
        <v>54</v>
      </c>
      <c r="CT91" s="1">
        <v>45</v>
      </c>
      <c r="CU91" s="1">
        <v>61</v>
      </c>
      <c r="CV91" s="1">
        <v>54</v>
      </c>
      <c r="CW91" s="1">
        <v>38</v>
      </c>
      <c r="CX91" s="1">
        <v>63</v>
      </c>
      <c r="CY91" s="1">
        <v>48</v>
      </c>
      <c r="CZ91" s="1">
        <v>52</v>
      </c>
      <c r="DA91" s="1">
        <v>0</v>
      </c>
    </row>
    <row r="92" spans="1:105" x14ac:dyDescent="0.15">
      <c r="A92" s="1" t="s">
        <v>81</v>
      </c>
      <c r="B92" s="1" t="s">
        <v>479</v>
      </c>
      <c r="C92" s="1">
        <v>3</v>
      </c>
      <c r="D92" s="1">
        <v>12</v>
      </c>
      <c r="E92" s="1">
        <v>21</v>
      </c>
      <c r="F92" s="1">
        <v>81</v>
      </c>
      <c r="G92" s="1">
        <v>98</v>
      </c>
      <c r="H92" s="1">
        <v>-17</v>
      </c>
      <c r="I92" s="1">
        <v>40</v>
      </c>
      <c r="J92" s="1">
        <v>31</v>
      </c>
      <c r="K92" s="1">
        <v>27</v>
      </c>
      <c r="L92" s="1">
        <v>35</v>
      </c>
      <c r="M92" s="1">
        <v>66</v>
      </c>
      <c r="N92" s="1">
        <v>76</v>
      </c>
      <c r="O92" s="1">
        <v>16</v>
      </c>
      <c r="P92" s="1">
        <v>35</v>
      </c>
      <c r="Q92" s="1">
        <v>9</v>
      </c>
      <c r="R92" s="1">
        <v>27</v>
      </c>
      <c r="S92" s="1">
        <v>62</v>
      </c>
      <c r="T92" s="1">
        <v>72</v>
      </c>
      <c r="U92" s="1">
        <v>128</v>
      </c>
      <c r="V92" s="1">
        <v>72</v>
      </c>
      <c r="W92" s="1">
        <v>120</v>
      </c>
      <c r="X92" s="1">
        <v>14</v>
      </c>
      <c r="Y92" s="1">
        <v>2</v>
      </c>
      <c r="Z92" s="1">
        <v>12</v>
      </c>
      <c r="AA92" s="1">
        <v>3</v>
      </c>
      <c r="AB92" s="1">
        <v>120</v>
      </c>
      <c r="AC92" s="1">
        <v>46</v>
      </c>
      <c r="AD92" s="1">
        <v>6</v>
      </c>
      <c r="AE92" s="1">
        <v>9</v>
      </c>
      <c r="AF92" s="1">
        <v>71</v>
      </c>
      <c r="AG92" s="1">
        <v>8888</v>
      </c>
      <c r="AH92" s="1">
        <v>8888</v>
      </c>
      <c r="AI92" s="1">
        <v>29</v>
      </c>
      <c r="AJ92" s="1">
        <v>20</v>
      </c>
      <c r="AK92" s="1">
        <v>4</v>
      </c>
      <c r="AL92" s="1">
        <v>6</v>
      </c>
      <c r="AM92" s="1">
        <v>5</v>
      </c>
      <c r="AN92" s="1">
        <v>15</v>
      </c>
      <c r="AO92" s="1">
        <v>29</v>
      </c>
      <c r="AP92" s="1">
        <v>5</v>
      </c>
      <c r="AQ92" s="1">
        <v>26</v>
      </c>
      <c r="AR92" s="1">
        <v>10</v>
      </c>
      <c r="AS92" s="1">
        <v>42</v>
      </c>
      <c r="AT92" s="1">
        <v>12</v>
      </c>
      <c r="AU92" s="1">
        <v>32</v>
      </c>
      <c r="AV92" s="1">
        <v>10</v>
      </c>
      <c r="AW92" s="1">
        <v>30</v>
      </c>
      <c r="AX92" s="1">
        <v>8</v>
      </c>
      <c r="AY92" s="1">
        <v>29</v>
      </c>
      <c r="AZ92" s="1">
        <v>1</v>
      </c>
      <c r="BA92" s="1">
        <v>2</v>
      </c>
      <c r="BB92" s="1">
        <v>2</v>
      </c>
      <c r="BC92" s="1">
        <v>5</v>
      </c>
      <c r="BD92" s="1">
        <v>12</v>
      </c>
      <c r="BE92" s="1">
        <v>2</v>
      </c>
      <c r="BF92" s="1">
        <v>20</v>
      </c>
      <c r="BG92" s="1">
        <v>7</v>
      </c>
      <c r="BH92" s="1">
        <v>5</v>
      </c>
      <c r="BI92" s="1">
        <v>9</v>
      </c>
      <c r="BJ92" s="1">
        <v>21</v>
      </c>
      <c r="BK92" s="1">
        <v>30</v>
      </c>
      <c r="BL92" s="1">
        <v>14</v>
      </c>
      <c r="BM92" s="1">
        <v>32</v>
      </c>
      <c r="BN92" s="1">
        <v>105</v>
      </c>
      <c r="BO92" s="1">
        <v>60</v>
      </c>
      <c r="BP92" s="1">
        <v>1.5</v>
      </c>
      <c r="BQ92" s="1">
        <v>1.1599999999999999</v>
      </c>
      <c r="BR92" s="1">
        <v>0</v>
      </c>
      <c r="BS92" s="1">
        <v>0.89</v>
      </c>
      <c r="BT92" s="1">
        <v>17</v>
      </c>
      <c r="BU92" s="1">
        <v>15</v>
      </c>
      <c r="BV92" s="1">
        <v>92.09</v>
      </c>
      <c r="BW92" s="1">
        <v>5</v>
      </c>
      <c r="BX92" s="1">
        <v>39.200000000000003</v>
      </c>
      <c r="BY92" s="1">
        <v>570.26</v>
      </c>
      <c r="BZ92" s="1">
        <v>80.959999999999994</v>
      </c>
      <c r="CA92" s="1">
        <v>11.63</v>
      </c>
      <c r="CB92" s="1">
        <v>82.2</v>
      </c>
      <c r="CC92" s="1">
        <v>13.27</v>
      </c>
      <c r="CD92" s="1">
        <v>70.38</v>
      </c>
      <c r="CE92" s="1">
        <v>1.04</v>
      </c>
      <c r="CF92" s="1">
        <v>43.29</v>
      </c>
      <c r="CG92" s="1">
        <v>3.84</v>
      </c>
      <c r="CH92" s="1">
        <v>71.62</v>
      </c>
      <c r="CI92" s="1">
        <v>0</v>
      </c>
      <c r="CJ92" s="1">
        <v>45.77</v>
      </c>
      <c r="CK92" s="1">
        <v>0</v>
      </c>
      <c r="CL92" s="1">
        <v>51</v>
      </c>
      <c r="CM92" s="1">
        <v>0</v>
      </c>
      <c r="CN92" s="1">
        <v>56.35</v>
      </c>
      <c r="CO92" s="1">
        <v>0.06</v>
      </c>
      <c r="CP92" s="1">
        <v>54.97</v>
      </c>
      <c r="CQ92" s="1">
        <v>0.04</v>
      </c>
      <c r="CR92" s="1">
        <v>54.87</v>
      </c>
      <c r="CS92" s="1">
        <v>21</v>
      </c>
      <c r="CT92" s="1">
        <v>17</v>
      </c>
      <c r="CU92" s="1">
        <v>27</v>
      </c>
      <c r="CV92" s="1">
        <v>29</v>
      </c>
      <c r="CW92" s="1">
        <v>12</v>
      </c>
      <c r="CX92" s="1">
        <v>29</v>
      </c>
      <c r="CY92" s="1">
        <v>60</v>
      </c>
      <c r="CZ92" s="1">
        <v>14</v>
      </c>
      <c r="DA92" s="1">
        <v>0</v>
      </c>
    </row>
    <row r="93" spans="1:105" x14ac:dyDescent="0.15">
      <c r="A93" s="1" t="s">
        <v>77</v>
      </c>
      <c r="B93" s="1" t="s">
        <v>480</v>
      </c>
      <c r="C93" s="1">
        <v>3</v>
      </c>
      <c r="D93" s="1">
        <v>14</v>
      </c>
      <c r="E93" s="1">
        <v>34</v>
      </c>
      <c r="F93" s="1">
        <v>101</v>
      </c>
      <c r="G93" s="1">
        <v>102</v>
      </c>
      <c r="H93" s="1">
        <v>-1</v>
      </c>
      <c r="I93" s="1">
        <v>51</v>
      </c>
      <c r="J93" s="1">
        <v>42</v>
      </c>
      <c r="K93" s="1">
        <v>38</v>
      </c>
      <c r="L93" s="1">
        <v>55</v>
      </c>
      <c r="M93" s="1">
        <v>97</v>
      </c>
      <c r="N93" s="1">
        <v>98</v>
      </c>
      <c r="O93" s="1">
        <v>61</v>
      </c>
      <c r="P93" s="1">
        <v>65</v>
      </c>
      <c r="Q93" s="1">
        <v>27</v>
      </c>
      <c r="R93" s="1">
        <v>59</v>
      </c>
      <c r="S93" s="1">
        <v>124</v>
      </c>
      <c r="T93" s="1">
        <v>120</v>
      </c>
      <c r="U93" s="1">
        <v>221</v>
      </c>
      <c r="V93" s="1">
        <v>109</v>
      </c>
      <c r="W93" s="1">
        <v>120</v>
      </c>
      <c r="X93" s="1">
        <v>30</v>
      </c>
      <c r="Y93" s="1">
        <v>0</v>
      </c>
      <c r="Z93" s="1">
        <v>30</v>
      </c>
      <c r="AA93" s="1">
        <v>10</v>
      </c>
      <c r="AB93" s="1">
        <v>120</v>
      </c>
      <c r="AC93" s="1">
        <v>64</v>
      </c>
      <c r="AD93" s="1">
        <v>10</v>
      </c>
      <c r="AE93" s="1">
        <v>20</v>
      </c>
      <c r="AF93" s="1">
        <v>100</v>
      </c>
      <c r="AG93" s="1">
        <v>25</v>
      </c>
      <c r="AH93" s="1">
        <v>52</v>
      </c>
      <c r="AI93" s="1">
        <v>46</v>
      </c>
      <c r="AJ93" s="1">
        <v>42</v>
      </c>
      <c r="AK93" s="1">
        <v>6</v>
      </c>
      <c r="AL93" s="1">
        <v>9</v>
      </c>
      <c r="AM93" s="1">
        <v>9</v>
      </c>
      <c r="AN93" s="1">
        <v>24</v>
      </c>
      <c r="AO93" s="1">
        <v>42</v>
      </c>
      <c r="AP93" s="1">
        <v>7</v>
      </c>
      <c r="AQ93" s="1">
        <v>35</v>
      </c>
      <c r="AR93" s="1">
        <v>10</v>
      </c>
      <c r="AS93" s="1">
        <v>41</v>
      </c>
      <c r="AT93" s="1">
        <v>19</v>
      </c>
      <c r="AU93" s="1">
        <v>58</v>
      </c>
      <c r="AV93" s="1">
        <v>17</v>
      </c>
      <c r="AW93" s="1">
        <v>53</v>
      </c>
      <c r="AX93" s="1">
        <v>25</v>
      </c>
      <c r="AY93" s="1">
        <v>64</v>
      </c>
      <c r="AZ93" s="1">
        <v>4</v>
      </c>
      <c r="BA93" s="1">
        <v>7</v>
      </c>
      <c r="BB93" s="1">
        <v>8</v>
      </c>
      <c r="BC93" s="1">
        <v>19</v>
      </c>
      <c r="BD93" s="1">
        <v>42</v>
      </c>
      <c r="BE93" s="1">
        <v>9</v>
      </c>
      <c r="BF93" s="1">
        <v>49</v>
      </c>
      <c r="BG93" s="1">
        <v>16</v>
      </c>
      <c r="BH93" s="1">
        <v>13</v>
      </c>
      <c r="BI93" s="1">
        <v>11</v>
      </c>
      <c r="BJ93" s="1">
        <v>40</v>
      </c>
      <c r="BK93" s="1">
        <v>41</v>
      </c>
      <c r="BL93" s="1">
        <v>19</v>
      </c>
      <c r="BM93" s="1">
        <v>42</v>
      </c>
      <c r="BN93" s="1">
        <v>89</v>
      </c>
      <c r="BO93" s="1">
        <v>40</v>
      </c>
      <c r="BP93" s="1">
        <v>3.4</v>
      </c>
      <c r="BQ93" s="1">
        <v>2.68</v>
      </c>
      <c r="BR93" s="1">
        <v>1.57</v>
      </c>
      <c r="BS93" s="1">
        <v>2.5499999999999998</v>
      </c>
      <c r="BT93" s="1">
        <v>43</v>
      </c>
      <c r="BU93" s="1">
        <v>0</v>
      </c>
      <c r="BV93" s="1">
        <v>42.1</v>
      </c>
      <c r="BW93" s="1">
        <v>6</v>
      </c>
      <c r="BX93" s="1">
        <v>40.369999999999997</v>
      </c>
      <c r="BY93" s="1">
        <v>376.16</v>
      </c>
      <c r="BZ93" s="1">
        <v>48.07</v>
      </c>
      <c r="CA93" s="1">
        <v>5.71</v>
      </c>
      <c r="CB93" s="1">
        <v>54.47</v>
      </c>
      <c r="CC93" s="1">
        <v>5.99</v>
      </c>
      <c r="CD93" s="1">
        <v>50.2</v>
      </c>
      <c r="CE93" s="1">
        <v>1.1599999999999999</v>
      </c>
      <c r="CF93" s="1">
        <v>41.1</v>
      </c>
      <c r="CG93" s="1">
        <v>0</v>
      </c>
      <c r="CH93" s="1">
        <v>44.29</v>
      </c>
      <c r="CI93" s="1">
        <v>0</v>
      </c>
      <c r="CJ93" s="1">
        <v>45.77</v>
      </c>
      <c r="CK93" s="1">
        <v>0.02</v>
      </c>
      <c r="CL93" s="1">
        <v>59.07</v>
      </c>
      <c r="CM93" s="1">
        <v>0.05</v>
      </c>
      <c r="CN93" s="1">
        <v>66.260000000000005</v>
      </c>
      <c r="CO93" s="1">
        <v>0.06</v>
      </c>
      <c r="CP93" s="1">
        <v>55.14</v>
      </c>
      <c r="CQ93" s="1">
        <v>0.04</v>
      </c>
      <c r="CR93" s="1">
        <v>54.91</v>
      </c>
      <c r="CS93" s="1">
        <v>44</v>
      </c>
      <c r="CT93" s="1">
        <v>43</v>
      </c>
      <c r="CU93" s="1">
        <v>56</v>
      </c>
      <c r="CV93" s="1">
        <v>42</v>
      </c>
      <c r="CW93" s="1">
        <v>42</v>
      </c>
      <c r="CX93" s="1">
        <v>64</v>
      </c>
      <c r="CY93" s="1">
        <v>40</v>
      </c>
      <c r="CZ93" s="1">
        <v>45</v>
      </c>
      <c r="DA93" s="1">
        <v>0</v>
      </c>
    </row>
    <row r="94" spans="1:105" x14ac:dyDescent="0.15">
      <c r="A94" s="1" t="s">
        <v>79</v>
      </c>
      <c r="B94" s="1" t="s">
        <v>480</v>
      </c>
      <c r="C94" s="1">
        <v>3</v>
      </c>
      <c r="D94" s="1">
        <v>11</v>
      </c>
      <c r="E94" s="1">
        <v>36</v>
      </c>
      <c r="F94" s="1">
        <v>105</v>
      </c>
      <c r="G94" s="1">
        <v>94</v>
      </c>
      <c r="H94" s="1">
        <v>11</v>
      </c>
      <c r="I94" s="1">
        <v>44</v>
      </c>
      <c r="J94" s="1">
        <v>36</v>
      </c>
      <c r="K94" s="1">
        <v>30</v>
      </c>
      <c r="L94" s="1">
        <v>40</v>
      </c>
      <c r="M94" s="1">
        <v>76</v>
      </c>
      <c r="N94" s="1">
        <v>82</v>
      </c>
      <c r="O94" s="1">
        <v>37</v>
      </c>
      <c r="P94" s="1">
        <v>48</v>
      </c>
      <c r="Q94" s="1">
        <v>19</v>
      </c>
      <c r="R94" s="1">
        <v>41</v>
      </c>
      <c r="S94" s="1">
        <v>89</v>
      </c>
      <c r="T94" s="1">
        <v>91</v>
      </c>
      <c r="U94" s="1">
        <v>165</v>
      </c>
      <c r="V94" s="1">
        <v>85</v>
      </c>
      <c r="W94" s="1">
        <v>120</v>
      </c>
      <c r="X94" s="1">
        <v>29</v>
      </c>
      <c r="Y94" s="1">
        <v>1</v>
      </c>
      <c r="Z94" s="1">
        <v>28</v>
      </c>
      <c r="AA94" s="1">
        <v>8</v>
      </c>
      <c r="AB94" s="1">
        <v>120</v>
      </c>
      <c r="AC94" s="1">
        <v>39</v>
      </c>
      <c r="AD94" s="1">
        <v>4</v>
      </c>
      <c r="AE94" s="1">
        <v>12</v>
      </c>
      <c r="AF94" s="1">
        <v>79</v>
      </c>
      <c r="AG94" s="1">
        <v>37</v>
      </c>
      <c r="AH94" s="1">
        <v>37</v>
      </c>
      <c r="AI94" s="1">
        <v>39</v>
      </c>
      <c r="AJ94" s="1">
        <v>26</v>
      </c>
      <c r="AK94" s="1">
        <v>7</v>
      </c>
      <c r="AL94" s="1">
        <v>8</v>
      </c>
      <c r="AM94" s="1">
        <v>12</v>
      </c>
      <c r="AN94" s="1">
        <v>27</v>
      </c>
      <c r="AO94" s="1">
        <v>45</v>
      </c>
      <c r="AP94" s="1">
        <v>8</v>
      </c>
      <c r="AQ94" s="1">
        <v>38</v>
      </c>
      <c r="AR94" s="1">
        <v>11</v>
      </c>
      <c r="AS94" s="1">
        <v>51</v>
      </c>
      <c r="AT94" s="1">
        <v>15</v>
      </c>
      <c r="AU94" s="1">
        <v>45</v>
      </c>
      <c r="AV94" s="1">
        <v>12</v>
      </c>
      <c r="AW94" s="1">
        <v>39</v>
      </c>
      <c r="AX94" s="1">
        <v>8888</v>
      </c>
      <c r="AY94" s="1">
        <v>8888</v>
      </c>
      <c r="AZ94" s="1">
        <v>3</v>
      </c>
      <c r="BA94" s="1">
        <v>3</v>
      </c>
      <c r="BB94" s="1">
        <v>2</v>
      </c>
      <c r="BC94" s="1">
        <v>8</v>
      </c>
      <c r="BD94" s="1">
        <v>16</v>
      </c>
      <c r="BE94" s="1">
        <v>4</v>
      </c>
      <c r="BF94" s="1">
        <v>20</v>
      </c>
      <c r="BG94" s="1">
        <v>18</v>
      </c>
      <c r="BH94" s="1">
        <v>15</v>
      </c>
      <c r="BI94" s="1">
        <v>13</v>
      </c>
      <c r="BJ94" s="1">
        <v>46</v>
      </c>
      <c r="BK94" s="1">
        <v>49</v>
      </c>
      <c r="BL94" s="1">
        <v>23</v>
      </c>
      <c r="BM94" s="1">
        <v>49</v>
      </c>
      <c r="BN94" s="1">
        <v>81</v>
      </c>
      <c r="BO94" s="1">
        <v>32</v>
      </c>
      <c r="BP94" s="1">
        <v>2.61</v>
      </c>
      <c r="BQ94" s="1">
        <v>2.25</v>
      </c>
      <c r="BR94" s="1">
        <v>0.9</v>
      </c>
      <c r="BS94" s="1">
        <v>1.92</v>
      </c>
      <c r="BT94" s="1">
        <v>34</v>
      </c>
      <c r="BU94" s="1">
        <v>8888</v>
      </c>
      <c r="BV94" s="1">
        <v>8888</v>
      </c>
      <c r="BW94" s="1">
        <v>8888</v>
      </c>
      <c r="BX94" s="1">
        <v>8888</v>
      </c>
      <c r="BY94" s="1">
        <v>8888</v>
      </c>
      <c r="BZ94" s="1">
        <v>8888</v>
      </c>
      <c r="CA94" s="1">
        <v>8888</v>
      </c>
      <c r="CB94" s="1">
        <v>8888</v>
      </c>
      <c r="CC94" s="1">
        <v>8888</v>
      </c>
      <c r="CD94" s="1">
        <v>8888</v>
      </c>
      <c r="CE94" s="1">
        <v>8888</v>
      </c>
      <c r="CF94" s="1">
        <v>8888</v>
      </c>
      <c r="CG94" s="1">
        <v>8888</v>
      </c>
      <c r="CH94" s="1">
        <v>8888</v>
      </c>
      <c r="CI94" s="1">
        <v>8888</v>
      </c>
      <c r="CJ94" s="1">
        <v>8888</v>
      </c>
      <c r="CK94" s="1">
        <v>8888</v>
      </c>
      <c r="CL94" s="1">
        <v>8888</v>
      </c>
      <c r="CM94" s="1">
        <v>8888</v>
      </c>
      <c r="CN94" s="1">
        <v>8888</v>
      </c>
      <c r="CO94" s="1">
        <v>8888</v>
      </c>
      <c r="CP94" s="1">
        <v>8888</v>
      </c>
      <c r="CQ94" s="1">
        <v>8888</v>
      </c>
      <c r="CR94" s="1">
        <v>8888</v>
      </c>
      <c r="CS94" s="1">
        <v>33</v>
      </c>
      <c r="CT94" s="1">
        <v>34</v>
      </c>
      <c r="CU94" s="1">
        <v>40</v>
      </c>
      <c r="CV94" s="1">
        <v>45</v>
      </c>
      <c r="CW94" s="1">
        <v>16</v>
      </c>
      <c r="CX94" s="1">
        <v>36</v>
      </c>
      <c r="CY94" s="1">
        <v>32</v>
      </c>
      <c r="CZ94" s="1">
        <v>24</v>
      </c>
      <c r="DA94" s="1">
        <v>0</v>
      </c>
    </row>
    <row r="95" spans="1:105" x14ac:dyDescent="0.15">
      <c r="A95" s="1" t="s">
        <v>84</v>
      </c>
      <c r="B95" s="1" t="s">
        <v>481</v>
      </c>
      <c r="C95" s="1">
        <v>1</v>
      </c>
      <c r="D95" s="1">
        <v>12</v>
      </c>
      <c r="E95" s="1">
        <v>17</v>
      </c>
      <c r="F95" s="1">
        <v>75</v>
      </c>
      <c r="G95" s="1">
        <v>99</v>
      </c>
      <c r="H95" s="1">
        <v>-24</v>
      </c>
      <c r="I95" s="1">
        <v>34</v>
      </c>
      <c r="J95" s="1">
        <v>25</v>
      </c>
      <c r="K95" s="1">
        <v>27</v>
      </c>
      <c r="L95" s="1">
        <v>39</v>
      </c>
      <c r="M95" s="1">
        <v>64</v>
      </c>
      <c r="N95" s="1">
        <v>74</v>
      </c>
      <c r="O95" s="1">
        <v>4</v>
      </c>
      <c r="P95" s="1">
        <v>28</v>
      </c>
      <c r="Q95" s="1">
        <v>0</v>
      </c>
      <c r="R95" s="1">
        <v>20</v>
      </c>
      <c r="S95" s="1">
        <v>48</v>
      </c>
      <c r="T95" s="1">
        <v>61</v>
      </c>
      <c r="U95" s="1">
        <v>112</v>
      </c>
      <c r="V95" s="1">
        <v>66</v>
      </c>
      <c r="W95" s="1">
        <v>120</v>
      </c>
      <c r="X95" s="1">
        <v>13</v>
      </c>
      <c r="Y95" s="1">
        <v>2</v>
      </c>
      <c r="Z95" s="1">
        <v>11</v>
      </c>
      <c r="AA95" s="1">
        <v>3</v>
      </c>
      <c r="AB95" s="1">
        <v>120</v>
      </c>
      <c r="AC95" s="1">
        <v>18</v>
      </c>
      <c r="AD95" s="1">
        <v>1</v>
      </c>
      <c r="AE95" s="1">
        <v>4</v>
      </c>
      <c r="AF95" s="1">
        <v>56</v>
      </c>
      <c r="AG95" s="1">
        <v>103</v>
      </c>
      <c r="AH95" s="1">
        <v>7</v>
      </c>
      <c r="AI95" s="1">
        <v>20</v>
      </c>
      <c r="AJ95" s="1">
        <v>16</v>
      </c>
      <c r="AK95" s="1">
        <v>3</v>
      </c>
      <c r="AL95" s="1">
        <v>6</v>
      </c>
      <c r="AM95" s="1">
        <v>5</v>
      </c>
      <c r="AN95" s="1">
        <v>14</v>
      </c>
      <c r="AO95" s="1">
        <v>29</v>
      </c>
      <c r="AP95" s="1">
        <v>4</v>
      </c>
      <c r="AQ95" s="1">
        <v>20</v>
      </c>
      <c r="AR95" s="1">
        <v>8</v>
      </c>
      <c r="AS95" s="1">
        <v>33</v>
      </c>
      <c r="AT95" s="1">
        <v>6</v>
      </c>
      <c r="AU95" s="1">
        <v>16</v>
      </c>
      <c r="AV95" s="1">
        <v>7</v>
      </c>
      <c r="AW95" s="1">
        <v>23</v>
      </c>
      <c r="AX95" s="1">
        <v>2</v>
      </c>
      <c r="AY95" s="1">
        <v>30</v>
      </c>
      <c r="AZ95" s="1">
        <v>2</v>
      </c>
      <c r="BA95" s="1">
        <v>2</v>
      </c>
      <c r="BB95" s="1">
        <v>2</v>
      </c>
      <c r="BC95" s="1">
        <v>6</v>
      </c>
      <c r="BD95" s="1">
        <v>21</v>
      </c>
      <c r="BE95" s="1">
        <v>4</v>
      </c>
      <c r="BF95" s="1">
        <v>24</v>
      </c>
      <c r="BG95" s="1">
        <v>6</v>
      </c>
      <c r="BH95" s="1">
        <v>6</v>
      </c>
      <c r="BI95" s="1">
        <v>4</v>
      </c>
      <c r="BJ95" s="1">
        <v>16</v>
      </c>
      <c r="BK95" s="1">
        <v>28</v>
      </c>
      <c r="BL95" s="1">
        <v>7</v>
      </c>
      <c r="BM95" s="1">
        <v>20</v>
      </c>
      <c r="BN95" s="1">
        <v>75</v>
      </c>
      <c r="BO95" s="1">
        <v>24</v>
      </c>
      <c r="BP95" s="1">
        <v>0.38</v>
      </c>
      <c r="BQ95" s="1">
        <v>0.76</v>
      </c>
      <c r="BR95" s="1">
        <v>-0.77</v>
      </c>
      <c r="BS95" s="1">
        <v>0.12</v>
      </c>
      <c r="BT95" s="1">
        <v>7</v>
      </c>
      <c r="BU95" s="1">
        <v>33</v>
      </c>
      <c r="BV95" s="1">
        <v>152.07</v>
      </c>
      <c r="BW95" s="1">
        <v>23</v>
      </c>
      <c r="BX95" s="1">
        <v>60.16</v>
      </c>
      <c r="BY95" s="1">
        <v>490.54</v>
      </c>
      <c r="BZ95" s="1">
        <v>69.06</v>
      </c>
      <c r="CA95" s="1">
        <v>12.2</v>
      </c>
      <c r="CB95" s="1">
        <v>84.07</v>
      </c>
      <c r="CC95" s="1">
        <v>23.51</v>
      </c>
      <c r="CD95" s="1">
        <v>84.9</v>
      </c>
      <c r="CE95" s="1">
        <v>0.18</v>
      </c>
      <c r="CF95" s="1">
        <v>60.22</v>
      </c>
      <c r="CG95" s="1">
        <v>1.1100000000000001</v>
      </c>
      <c r="CH95" s="1">
        <v>52.23</v>
      </c>
      <c r="CI95" s="1">
        <v>4</v>
      </c>
      <c r="CJ95" s="1">
        <v>130.37</v>
      </c>
      <c r="CK95" s="1">
        <v>0.05</v>
      </c>
      <c r="CL95" s="1">
        <v>71.72</v>
      </c>
      <c r="CM95" s="1">
        <v>0.13</v>
      </c>
      <c r="CN95" s="1">
        <v>81.319999999999993</v>
      </c>
      <c r="CO95" s="1">
        <v>-0.08</v>
      </c>
      <c r="CP95" s="1">
        <v>1.72</v>
      </c>
      <c r="CQ95" s="1">
        <v>-0.32</v>
      </c>
      <c r="CR95" s="1">
        <v>15.4</v>
      </c>
      <c r="CS95" s="1">
        <v>3</v>
      </c>
      <c r="CT95" s="1">
        <v>7</v>
      </c>
      <c r="CU95" s="1">
        <v>13</v>
      </c>
      <c r="CV95" s="1">
        <v>29</v>
      </c>
      <c r="CW95" s="1">
        <v>21</v>
      </c>
      <c r="CX95" s="1">
        <v>30</v>
      </c>
      <c r="CY95" s="1">
        <v>24</v>
      </c>
      <c r="CZ95" s="1">
        <v>-2</v>
      </c>
      <c r="DA95" s="1">
        <v>0</v>
      </c>
    </row>
    <row r="96" spans="1:105" x14ac:dyDescent="0.15">
      <c r="A96" s="1" t="s">
        <v>82</v>
      </c>
      <c r="B96" s="1" t="s">
        <v>482</v>
      </c>
      <c r="C96" s="1">
        <v>3</v>
      </c>
      <c r="D96" s="1">
        <v>17</v>
      </c>
      <c r="E96" s="1">
        <v>43</v>
      </c>
      <c r="F96" s="1">
        <v>116</v>
      </c>
      <c r="G96" s="1">
        <v>109</v>
      </c>
      <c r="H96" s="1">
        <v>7</v>
      </c>
      <c r="I96" s="1">
        <v>63</v>
      </c>
      <c r="J96" s="1">
        <v>57</v>
      </c>
      <c r="K96" s="1">
        <v>32</v>
      </c>
      <c r="L96" s="1">
        <v>44</v>
      </c>
      <c r="M96" s="1">
        <v>102</v>
      </c>
      <c r="N96" s="1">
        <v>101</v>
      </c>
      <c r="O96" s="1">
        <v>44</v>
      </c>
      <c r="P96" s="1">
        <v>52</v>
      </c>
      <c r="Q96" s="1">
        <v>25</v>
      </c>
      <c r="R96" s="1">
        <v>52</v>
      </c>
      <c r="S96" s="1">
        <v>104</v>
      </c>
      <c r="T96" s="1">
        <v>103</v>
      </c>
      <c r="U96" s="1">
        <v>206</v>
      </c>
      <c r="V96" s="1">
        <v>102</v>
      </c>
      <c r="W96" s="1">
        <v>120</v>
      </c>
      <c r="X96" s="1">
        <v>20</v>
      </c>
      <c r="Y96" s="1">
        <v>0</v>
      </c>
      <c r="Z96" s="1">
        <v>20</v>
      </c>
      <c r="AA96" s="1">
        <v>5</v>
      </c>
      <c r="AB96" s="1">
        <v>120</v>
      </c>
      <c r="AC96" s="1">
        <v>38</v>
      </c>
      <c r="AD96" s="1">
        <v>4</v>
      </c>
      <c r="AE96" s="1">
        <v>9</v>
      </c>
      <c r="AF96" s="1">
        <v>71</v>
      </c>
      <c r="AG96" s="1">
        <v>37</v>
      </c>
      <c r="AH96" s="1">
        <v>36</v>
      </c>
      <c r="AI96" s="1">
        <v>54</v>
      </c>
      <c r="AJ96" s="1">
        <v>41</v>
      </c>
      <c r="AK96" s="1">
        <v>7</v>
      </c>
      <c r="AL96" s="1">
        <v>9</v>
      </c>
      <c r="AM96" s="1">
        <v>10</v>
      </c>
      <c r="AN96" s="1">
        <v>25</v>
      </c>
      <c r="AO96" s="1">
        <v>43</v>
      </c>
      <c r="AP96" s="1">
        <v>10</v>
      </c>
      <c r="AQ96" s="1">
        <v>49</v>
      </c>
      <c r="AR96" s="1">
        <v>11</v>
      </c>
      <c r="AS96" s="1">
        <v>51</v>
      </c>
      <c r="AT96" s="1">
        <v>7</v>
      </c>
      <c r="AU96" s="1">
        <v>19</v>
      </c>
      <c r="AV96" s="1">
        <v>14</v>
      </c>
      <c r="AW96" s="1">
        <v>45</v>
      </c>
      <c r="AX96" s="1">
        <v>20</v>
      </c>
      <c r="AY96" s="1">
        <v>46</v>
      </c>
      <c r="AZ96" s="1">
        <v>2</v>
      </c>
      <c r="BA96" s="1">
        <v>6</v>
      </c>
      <c r="BB96" s="1">
        <v>7</v>
      </c>
      <c r="BC96" s="1">
        <v>15</v>
      </c>
      <c r="BD96" s="1">
        <v>28</v>
      </c>
      <c r="BE96" s="1">
        <v>6</v>
      </c>
      <c r="BF96" s="1">
        <v>24</v>
      </c>
      <c r="BG96" s="1">
        <v>4</v>
      </c>
      <c r="BH96" s="1">
        <v>3</v>
      </c>
      <c r="BI96" s="1">
        <v>8</v>
      </c>
      <c r="BJ96" s="1">
        <v>15</v>
      </c>
      <c r="BK96" s="1">
        <v>14</v>
      </c>
      <c r="BL96" s="1">
        <v>15</v>
      </c>
      <c r="BM96" s="1">
        <v>34</v>
      </c>
      <c r="BN96" s="1">
        <v>98</v>
      </c>
      <c r="BO96" s="1">
        <v>52</v>
      </c>
      <c r="BP96" s="1">
        <v>2.74</v>
      </c>
      <c r="BQ96" s="1">
        <v>1.5</v>
      </c>
      <c r="BR96" s="1">
        <v>0.67</v>
      </c>
      <c r="BS96" s="1">
        <v>1.64</v>
      </c>
      <c r="BT96" s="1">
        <v>30</v>
      </c>
      <c r="BU96" s="1">
        <v>6</v>
      </c>
      <c r="BV96" s="1">
        <v>59.56</v>
      </c>
      <c r="BW96" s="1">
        <v>21</v>
      </c>
      <c r="BX96" s="1">
        <v>65.959999999999994</v>
      </c>
      <c r="BY96" s="1">
        <v>425.53</v>
      </c>
      <c r="BZ96" s="1">
        <v>55.3</v>
      </c>
      <c r="CA96" s="1">
        <v>11.88</v>
      </c>
      <c r="CB96" s="1">
        <v>77.819999999999993</v>
      </c>
      <c r="CC96" s="1">
        <v>24.99</v>
      </c>
      <c r="CD96" s="1">
        <v>75.989999999999995</v>
      </c>
      <c r="CE96" s="1">
        <v>0.56000000000000016</v>
      </c>
      <c r="CF96" s="1">
        <v>56.98</v>
      </c>
      <c r="CG96" s="1">
        <v>0.36</v>
      </c>
      <c r="CH96" s="1">
        <v>46.3</v>
      </c>
      <c r="CI96" s="1">
        <v>7</v>
      </c>
      <c r="CJ96" s="1">
        <v>104.13</v>
      </c>
      <c r="CK96" s="1">
        <v>0.04</v>
      </c>
      <c r="CL96" s="1">
        <v>65.31</v>
      </c>
      <c r="CM96" s="1">
        <v>0.11</v>
      </c>
      <c r="CN96" s="1">
        <v>67.040000000000006</v>
      </c>
      <c r="CO96" s="1">
        <v>0.02</v>
      </c>
      <c r="CP96" s="1">
        <v>39.630000000000003</v>
      </c>
      <c r="CQ96" s="1">
        <v>-0.30000000000000004</v>
      </c>
      <c r="CR96" s="1">
        <v>19.3</v>
      </c>
      <c r="CS96" s="1">
        <v>33</v>
      </c>
      <c r="CT96" s="1">
        <v>30</v>
      </c>
      <c r="CU96" s="1">
        <v>28</v>
      </c>
      <c r="CV96" s="1">
        <v>43</v>
      </c>
      <c r="CW96" s="1">
        <v>28</v>
      </c>
      <c r="CX96" s="1">
        <v>46</v>
      </c>
      <c r="CY96" s="1">
        <v>52</v>
      </c>
      <c r="CZ96" s="1">
        <v>29</v>
      </c>
      <c r="DA96" s="1">
        <v>0</v>
      </c>
    </row>
    <row r="97" spans="1:105" x14ac:dyDescent="0.15">
      <c r="A97" s="1" t="s">
        <v>86</v>
      </c>
      <c r="B97" s="1" t="s">
        <v>483</v>
      </c>
      <c r="C97" s="1">
        <v>1</v>
      </c>
      <c r="D97" s="1">
        <v>14</v>
      </c>
      <c r="E97" s="1">
        <v>33</v>
      </c>
      <c r="F97" s="1">
        <v>99</v>
      </c>
      <c r="G97" s="1">
        <v>105</v>
      </c>
      <c r="H97" s="1">
        <v>-6</v>
      </c>
      <c r="I97" s="1">
        <v>40</v>
      </c>
      <c r="J97" s="1">
        <v>31</v>
      </c>
      <c r="K97" s="1">
        <v>35</v>
      </c>
      <c r="L97" s="1">
        <v>50</v>
      </c>
      <c r="M97" s="1">
        <v>81</v>
      </c>
      <c r="N97" s="1">
        <v>86</v>
      </c>
      <c r="O97" s="1">
        <v>62</v>
      </c>
      <c r="P97" s="1">
        <v>66</v>
      </c>
      <c r="Q97" s="1">
        <v>29</v>
      </c>
      <c r="R97" s="1">
        <v>63</v>
      </c>
      <c r="S97" s="1">
        <v>129</v>
      </c>
      <c r="T97" s="1">
        <v>126</v>
      </c>
      <c r="U97" s="1">
        <v>110</v>
      </c>
      <c r="V97" s="1">
        <v>65</v>
      </c>
      <c r="W97" s="1">
        <v>120</v>
      </c>
      <c r="X97" s="1">
        <v>25</v>
      </c>
      <c r="Y97" s="1">
        <v>0</v>
      </c>
      <c r="Z97" s="1">
        <v>25</v>
      </c>
      <c r="AA97" s="1">
        <v>8</v>
      </c>
      <c r="AB97" s="1">
        <v>120</v>
      </c>
      <c r="AC97" s="1">
        <v>59</v>
      </c>
      <c r="AD97" s="1">
        <v>9</v>
      </c>
      <c r="AE97" s="1">
        <v>17</v>
      </c>
      <c r="AF97" s="1">
        <v>92</v>
      </c>
      <c r="AG97" s="1">
        <v>29</v>
      </c>
      <c r="AH97" s="1">
        <v>48</v>
      </c>
      <c r="AI97" s="1">
        <v>46</v>
      </c>
      <c r="AJ97" s="1">
        <v>43</v>
      </c>
      <c r="AK97" s="1">
        <v>8</v>
      </c>
      <c r="AL97" s="1">
        <v>10</v>
      </c>
      <c r="AM97" s="1">
        <v>10</v>
      </c>
      <c r="AN97" s="1">
        <v>28</v>
      </c>
      <c r="AO97" s="1">
        <v>50</v>
      </c>
      <c r="AP97" s="1">
        <v>8</v>
      </c>
      <c r="AQ97" s="1">
        <v>38</v>
      </c>
      <c r="AR97" s="1">
        <v>10</v>
      </c>
      <c r="AS97" s="1">
        <v>45</v>
      </c>
      <c r="AT97" s="1">
        <v>16</v>
      </c>
      <c r="AU97" s="1">
        <v>48</v>
      </c>
      <c r="AV97" s="1">
        <v>18</v>
      </c>
      <c r="AW97" s="1">
        <v>56</v>
      </c>
      <c r="AX97" s="1">
        <v>25</v>
      </c>
      <c r="AY97" s="1">
        <v>65</v>
      </c>
      <c r="AZ97" s="1">
        <v>4</v>
      </c>
      <c r="BA97" s="1">
        <v>7</v>
      </c>
      <c r="BB97" s="1">
        <v>8</v>
      </c>
      <c r="BC97" s="1">
        <v>19</v>
      </c>
      <c r="BD97" s="1">
        <v>43</v>
      </c>
      <c r="BE97" s="1">
        <v>7</v>
      </c>
      <c r="BF97" s="1">
        <v>39</v>
      </c>
      <c r="BG97" s="1">
        <v>11</v>
      </c>
      <c r="BH97" s="1">
        <v>9</v>
      </c>
      <c r="BI97" s="1">
        <v>10</v>
      </c>
      <c r="BJ97" s="1">
        <v>30</v>
      </c>
      <c r="BK97" s="1">
        <v>37</v>
      </c>
      <c r="BL97" s="1">
        <v>27</v>
      </c>
      <c r="BM97" s="1">
        <v>57</v>
      </c>
      <c r="BN97" s="1">
        <v>85</v>
      </c>
      <c r="BO97" s="1">
        <v>36</v>
      </c>
      <c r="BP97" s="1">
        <v>3.68</v>
      </c>
      <c r="BQ97" s="1">
        <v>2.61</v>
      </c>
      <c r="BR97" s="1">
        <v>2.25</v>
      </c>
      <c r="BS97" s="1">
        <v>2.85</v>
      </c>
      <c r="BT97" s="1">
        <v>48</v>
      </c>
      <c r="BU97" s="1">
        <v>2</v>
      </c>
      <c r="BV97" s="1">
        <v>48.76</v>
      </c>
      <c r="BW97" s="1">
        <v>11</v>
      </c>
      <c r="BX97" s="1">
        <v>46.19</v>
      </c>
      <c r="BY97" s="1">
        <v>409.18</v>
      </c>
      <c r="BZ97" s="1">
        <v>54.72</v>
      </c>
      <c r="CA97" s="1">
        <v>4.33</v>
      </c>
      <c r="CB97" s="1">
        <v>43.62</v>
      </c>
      <c r="CC97" s="1">
        <v>3.11</v>
      </c>
      <c r="CD97" s="1">
        <v>33.54</v>
      </c>
      <c r="CE97" s="1">
        <v>0.68</v>
      </c>
      <c r="CF97" s="1">
        <v>50.33</v>
      </c>
      <c r="CG97" s="1">
        <v>0</v>
      </c>
      <c r="CH97" s="1">
        <v>44.33</v>
      </c>
      <c r="CI97" s="1">
        <v>0</v>
      </c>
      <c r="CJ97" s="1">
        <v>45.77</v>
      </c>
      <c r="CK97" s="1">
        <v>-0.02</v>
      </c>
      <c r="CL97" s="1">
        <v>38.74</v>
      </c>
      <c r="CM97" s="1">
        <v>-0.04</v>
      </c>
      <c r="CN97" s="1">
        <v>48.76</v>
      </c>
      <c r="CO97" s="1">
        <v>0.04</v>
      </c>
      <c r="CP97" s="1">
        <v>45.76</v>
      </c>
      <c r="CQ97" s="1">
        <v>-0.01</v>
      </c>
      <c r="CR97" s="1">
        <v>50.05</v>
      </c>
      <c r="CS97" s="1">
        <v>49</v>
      </c>
      <c r="CT97" s="1">
        <v>48</v>
      </c>
      <c r="CU97" s="1">
        <v>52</v>
      </c>
      <c r="CV97" s="1">
        <v>50</v>
      </c>
      <c r="CW97" s="1">
        <v>43</v>
      </c>
      <c r="CX97" s="1">
        <v>65</v>
      </c>
      <c r="CY97" s="1">
        <v>36</v>
      </c>
      <c r="CZ97" s="1">
        <v>48</v>
      </c>
      <c r="DA97" s="1">
        <v>0</v>
      </c>
    </row>
    <row r="98" spans="1:105" x14ac:dyDescent="0.15">
      <c r="A98" s="1" t="s">
        <v>73</v>
      </c>
      <c r="B98" s="1" t="s">
        <v>484</v>
      </c>
      <c r="C98" s="1">
        <v>1</v>
      </c>
      <c r="D98" s="1">
        <v>13</v>
      </c>
      <c r="E98" s="1">
        <v>38</v>
      </c>
      <c r="F98" s="1">
        <v>108</v>
      </c>
      <c r="G98" s="1">
        <v>105</v>
      </c>
      <c r="H98" s="1">
        <v>3</v>
      </c>
      <c r="I98" s="1">
        <v>44</v>
      </c>
      <c r="J98" s="1">
        <v>36</v>
      </c>
      <c r="K98" s="1">
        <v>39</v>
      </c>
      <c r="L98" s="1">
        <v>56</v>
      </c>
      <c r="M98" s="1">
        <v>92</v>
      </c>
      <c r="N98" s="1">
        <v>94</v>
      </c>
      <c r="O98" s="1">
        <v>71</v>
      </c>
      <c r="P98" s="1">
        <v>70</v>
      </c>
      <c r="Q98" s="1">
        <v>28</v>
      </c>
      <c r="R98" s="1">
        <v>56</v>
      </c>
      <c r="S98" s="1">
        <v>126</v>
      </c>
      <c r="T98" s="1">
        <v>123</v>
      </c>
      <c r="U98" s="1">
        <v>218</v>
      </c>
      <c r="V98" s="1">
        <v>108</v>
      </c>
      <c r="W98" s="1">
        <v>120</v>
      </c>
      <c r="X98" s="1">
        <v>32</v>
      </c>
      <c r="Y98" s="1">
        <v>0</v>
      </c>
      <c r="Z98" s="1">
        <v>32</v>
      </c>
      <c r="AA98" s="1">
        <v>9</v>
      </c>
      <c r="AB98" s="1">
        <v>120</v>
      </c>
      <c r="AC98" s="1">
        <v>63</v>
      </c>
      <c r="AD98" s="1">
        <v>8</v>
      </c>
      <c r="AE98" s="1">
        <v>17</v>
      </c>
      <c r="AF98" s="1">
        <v>92</v>
      </c>
      <c r="AG98" s="1">
        <v>22</v>
      </c>
      <c r="AH98" s="1">
        <v>51</v>
      </c>
      <c r="AI98" s="1">
        <v>40</v>
      </c>
      <c r="AJ98" s="1">
        <v>28</v>
      </c>
      <c r="AK98" s="1">
        <v>4</v>
      </c>
      <c r="AL98" s="1">
        <v>7</v>
      </c>
      <c r="AM98" s="1">
        <v>8</v>
      </c>
      <c r="AN98" s="1">
        <v>19</v>
      </c>
      <c r="AO98" s="1">
        <v>33</v>
      </c>
      <c r="AP98" s="1">
        <v>5</v>
      </c>
      <c r="AQ98" s="1">
        <v>23</v>
      </c>
      <c r="AR98" s="1">
        <v>9</v>
      </c>
      <c r="AS98" s="1">
        <v>37</v>
      </c>
      <c r="AT98" s="1">
        <v>15</v>
      </c>
      <c r="AU98" s="1">
        <v>40</v>
      </c>
      <c r="AV98" s="1">
        <v>15</v>
      </c>
      <c r="AW98" s="1">
        <v>44</v>
      </c>
      <c r="AX98" s="1">
        <v>26</v>
      </c>
      <c r="AY98" s="1">
        <v>61</v>
      </c>
      <c r="AZ98" s="1">
        <v>3</v>
      </c>
      <c r="BA98" s="1">
        <v>8</v>
      </c>
      <c r="BB98" s="1">
        <v>8</v>
      </c>
      <c r="BC98" s="1">
        <v>19</v>
      </c>
      <c r="BD98" s="1">
        <v>34</v>
      </c>
      <c r="BE98" s="1">
        <v>9</v>
      </c>
      <c r="BF98" s="1">
        <v>41</v>
      </c>
      <c r="BG98" s="1">
        <v>14</v>
      </c>
      <c r="BH98" s="1">
        <v>12</v>
      </c>
      <c r="BI98" s="1">
        <v>13</v>
      </c>
      <c r="BJ98" s="1">
        <v>39</v>
      </c>
      <c r="BK98" s="1">
        <v>39</v>
      </c>
      <c r="BL98" s="1">
        <v>9</v>
      </c>
      <c r="BM98" s="1">
        <v>22</v>
      </c>
      <c r="BN98" s="1">
        <v>94</v>
      </c>
      <c r="BO98" s="1">
        <v>49</v>
      </c>
      <c r="BP98" s="1">
        <v>3.96</v>
      </c>
      <c r="BQ98" s="1">
        <v>2.23</v>
      </c>
      <c r="BR98" s="1">
        <v>1.4</v>
      </c>
      <c r="BS98" s="1">
        <v>2.5300000000000002</v>
      </c>
      <c r="BT98" s="1">
        <v>41</v>
      </c>
      <c r="BU98" s="1">
        <v>8</v>
      </c>
      <c r="BV98" s="1">
        <v>64.959999999999994</v>
      </c>
      <c r="BW98" s="1">
        <v>18</v>
      </c>
      <c r="BX98" s="1">
        <v>54.74</v>
      </c>
      <c r="BY98" s="1">
        <v>438.63</v>
      </c>
      <c r="BZ98" s="1">
        <v>58.92</v>
      </c>
      <c r="CA98" s="1">
        <v>8.6199999999999992</v>
      </c>
      <c r="CB98" s="1">
        <v>64.62</v>
      </c>
      <c r="CC98" s="1">
        <v>9.58</v>
      </c>
      <c r="CD98" s="1">
        <v>55.69</v>
      </c>
      <c r="CE98" s="1">
        <v>0.4</v>
      </c>
      <c r="CF98" s="1">
        <v>55.61</v>
      </c>
      <c r="CG98" s="1">
        <v>0.72</v>
      </c>
      <c r="CH98" s="1">
        <v>49.68</v>
      </c>
      <c r="CI98" s="1">
        <v>0</v>
      </c>
      <c r="CJ98" s="1">
        <v>44.54</v>
      </c>
      <c r="CK98" s="1">
        <v>0.03</v>
      </c>
      <c r="CL98" s="1">
        <v>60.45</v>
      </c>
      <c r="CM98" s="1">
        <v>0.01</v>
      </c>
      <c r="CN98" s="1">
        <v>50.98</v>
      </c>
      <c r="CO98" s="1">
        <v>0.11</v>
      </c>
      <c r="CP98" s="1">
        <v>67.42</v>
      </c>
      <c r="CQ98" s="1">
        <v>0.08</v>
      </c>
      <c r="CR98" s="1">
        <v>55.67</v>
      </c>
      <c r="CS98" s="1">
        <v>29</v>
      </c>
      <c r="CT98" s="1">
        <v>41</v>
      </c>
      <c r="CU98" s="1">
        <v>41</v>
      </c>
      <c r="CV98" s="1">
        <v>33</v>
      </c>
      <c r="CW98" s="1">
        <v>34</v>
      </c>
      <c r="CX98" s="1">
        <v>61</v>
      </c>
      <c r="CY98" s="1">
        <v>49</v>
      </c>
      <c r="CZ98" s="1">
        <v>35</v>
      </c>
      <c r="DA98" s="1">
        <v>0</v>
      </c>
    </row>
    <row r="99" spans="1:105" x14ac:dyDescent="0.15">
      <c r="A99" s="1" t="s">
        <v>90</v>
      </c>
      <c r="B99" s="1" t="s">
        <v>485</v>
      </c>
      <c r="C99" s="1">
        <v>1</v>
      </c>
      <c r="D99" s="1">
        <v>12</v>
      </c>
      <c r="E99" s="1">
        <v>36</v>
      </c>
      <c r="F99" s="1">
        <v>105</v>
      </c>
      <c r="G99" s="1">
        <v>99</v>
      </c>
      <c r="H99" s="1">
        <v>6</v>
      </c>
      <c r="I99" s="1">
        <v>53</v>
      </c>
      <c r="J99" s="1">
        <v>47</v>
      </c>
      <c r="K99" s="1">
        <v>27</v>
      </c>
      <c r="L99" s="1">
        <v>42</v>
      </c>
      <c r="M99" s="1">
        <v>89</v>
      </c>
      <c r="N99" s="1">
        <v>91</v>
      </c>
      <c r="O99" s="1">
        <v>31</v>
      </c>
      <c r="P99" s="1">
        <v>49</v>
      </c>
      <c r="Q99" s="1">
        <v>17</v>
      </c>
      <c r="R99" s="1">
        <v>47</v>
      </c>
      <c r="S99" s="1">
        <v>96</v>
      </c>
      <c r="T99" s="1">
        <v>96</v>
      </c>
      <c r="U99" s="1">
        <v>185</v>
      </c>
      <c r="V99" s="1">
        <v>93</v>
      </c>
      <c r="W99" s="1">
        <v>120</v>
      </c>
      <c r="X99" s="1">
        <v>19</v>
      </c>
      <c r="Y99" s="1">
        <v>0</v>
      </c>
      <c r="Z99" s="1">
        <v>19</v>
      </c>
      <c r="AA99" s="1">
        <v>6</v>
      </c>
      <c r="AB99" s="1">
        <v>120</v>
      </c>
      <c r="AC99" s="1">
        <v>52</v>
      </c>
      <c r="AD99" s="1">
        <v>8</v>
      </c>
      <c r="AE99" s="1">
        <v>14</v>
      </c>
      <c r="AF99" s="1">
        <v>84</v>
      </c>
      <c r="AG99" s="1">
        <v>32</v>
      </c>
      <c r="AH99" s="1">
        <v>47</v>
      </c>
      <c r="AI99" s="1">
        <v>30</v>
      </c>
      <c r="AJ99" s="1">
        <v>30</v>
      </c>
      <c r="AK99" s="1">
        <v>4</v>
      </c>
      <c r="AL99" s="1">
        <v>4</v>
      </c>
      <c r="AM99" s="1">
        <v>5</v>
      </c>
      <c r="AN99" s="1">
        <v>13</v>
      </c>
      <c r="AO99" s="1">
        <v>28</v>
      </c>
      <c r="AP99" s="1">
        <v>3</v>
      </c>
      <c r="AQ99" s="1">
        <v>20</v>
      </c>
      <c r="AR99" s="1">
        <v>8</v>
      </c>
      <c r="AS99" s="1">
        <v>30</v>
      </c>
      <c r="AT99" s="1">
        <v>14</v>
      </c>
      <c r="AU99" s="1">
        <v>44</v>
      </c>
      <c r="AV99" s="1">
        <v>5</v>
      </c>
      <c r="AW99" s="1">
        <v>18</v>
      </c>
      <c r="AX99" s="1">
        <v>8888</v>
      </c>
      <c r="AY99" s="1">
        <v>8888</v>
      </c>
      <c r="AZ99" s="1">
        <v>0</v>
      </c>
      <c r="BA99" s="1">
        <v>2</v>
      </c>
      <c r="BB99" s="1">
        <v>4</v>
      </c>
      <c r="BC99" s="1">
        <v>6</v>
      </c>
      <c r="BD99" s="1">
        <v>24</v>
      </c>
      <c r="BE99" s="1">
        <v>4</v>
      </c>
      <c r="BF99" s="1">
        <v>27</v>
      </c>
      <c r="BG99" s="1">
        <v>10</v>
      </c>
      <c r="BH99" s="1">
        <v>6</v>
      </c>
      <c r="BI99" s="1">
        <v>10</v>
      </c>
      <c r="BJ99" s="1">
        <v>26</v>
      </c>
      <c r="BK99" s="1">
        <v>38</v>
      </c>
      <c r="BL99" s="1">
        <v>17</v>
      </c>
      <c r="BM99" s="1">
        <v>39</v>
      </c>
      <c r="BN99" s="1">
        <v>95</v>
      </c>
      <c r="BO99" s="1">
        <v>46</v>
      </c>
      <c r="BP99" s="1">
        <v>2.46</v>
      </c>
      <c r="BQ99" s="1">
        <v>2.12</v>
      </c>
      <c r="BR99" s="1">
        <v>0.60000000000000009</v>
      </c>
      <c r="BS99" s="1">
        <v>1.73</v>
      </c>
      <c r="BT99" s="1">
        <v>32</v>
      </c>
      <c r="BU99" s="1">
        <v>8</v>
      </c>
      <c r="BV99" s="1">
        <v>64.5</v>
      </c>
      <c r="BW99" s="1">
        <v>19</v>
      </c>
      <c r="BX99" s="1">
        <v>57.39</v>
      </c>
      <c r="BY99" s="1">
        <v>394.23</v>
      </c>
      <c r="BZ99" s="1">
        <v>44.98</v>
      </c>
      <c r="CA99" s="1">
        <v>8.4700000000000006</v>
      </c>
      <c r="CB99" s="1">
        <v>61.74</v>
      </c>
      <c r="CC99" s="1">
        <v>15.09</v>
      </c>
      <c r="CD99" s="1">
        <v>68.72</v>
      </c>
      <c r="CE99" s="1">
        <v>0.59</v>
      </c>
      <c r="CF99" s="1">
        <v>50.44</v>
      </c>
      <c r="CG99" s="1">
        <v>0.44</v>
      </c>
      <c r="CH99" s="1">
        <v>40.01</v>
      </c>
      <c r="CI99" s="1">
        <v>2</v>
      </c>
      <c r="CJ99" s="1">
        <v>63.52</v>
      </c>
      <c r="CK99" s="1">
        <v>0.03</v>
      </c>
      <c r="CL99" s="1">
        <v>54.82</v>
      </c>
      <c r="CM99" s="1">
        <v>-7.0000000000000007E-2</v>
      </c>
      <c r="CN99" s="1">
        <v>44.86</v>
      </c>
      <c r="CO99" s="1">
        <v>-0.05</v>
      </c>
      <c r="CP99" s="1">
        <v>34.89</v>
      </c>
      <c r="CQ99" s="1">
        <v>-0.26</v>
      </c>
      <c r="CR99" s="1">
        <v>20.12</v>
      </c>
      <c r="CS99" s="1">
        <v>35</v>
      </c>
      <c r="CT99" s="1">
        <v>32</v>
      </c>
      <c r="CU99" s="1">
        <v>27</v>
      </c>
      <c r="CV99" s="1">
        <v>28</v>
      </c>
      <c r="CW99" s="1">
        <v>24</v>
      </c>
      <c r="CX99" s="1">
        <v>8888</v>
      </c>
      <c r="CY99" s="1">
        <v>46</v>
      </c>
      <c r="CZ99" s="1">
        <v>8888</v>
      </c>
      <c r="DA99" s="1">
        <v>0</v>
      </c>
    </row>
    <row r="100" spans="1:105" x14ac:dyDescent="0.15">
      <c r="A100" s="1" t="s">
        <v>94</v>
      </c>
      <c r="B100" s="1" t="s">
        <v>95</v>
      </c>
      <c r="C100" s="1">
        <v>3</v>
      </c>
      <c r="D100" s="1">
        <v>14</v>
      </c>
      <c r="E100" s="1">
        <v>33</v>
      </c>
      <c r="F100" s="1">
        <v>99</v>
      </c>
      <c r="G100" s="1">
        <v>102</v>
      </c>
      <c r="H100" s="1">
        <v>-3</v>
      </c>
      <c r="I100" s="1">
        <v>58</v>
      </c>
      <c r="J100" s="1">
        <v>49</v>
      </c>
      <c r="K100" s="1">
        <v>37</v>
      </c>
      <c r="L100" s="1">
        <v>52</v>
      </c>
      <c r="M100" s="1">
        <v>101</v>
      </c>
      <c r="N100" s="1">
        <v>100</v>
      </c>
      <c r="O100" s="1">
        <v>10</v>
      </c>
      <c r="P100" s="1">
        <v>31</v>
      </c>
      <c r="Q100" s="1">
        <v>10</v>
      </c>
      <c r="R100" s="1">
        <v>29</v>
      </c>
      <c r="S100" s="1">
        <v>60</v>
      </c>
      <c r="T100" s="1">
        <v>70</v>
      </c>
      <c r="U100" s="1">
        <v>161</v>
      </c>
      <c r="V100" s="1">
        <v>84</v>
      </c>
      <c r="W100" s="1">
        <v>120</v>
      </c>
      <c r="X100" s="1">
        <v>33</v>
      </c>
      <c r="Y100" s="1">
        <v>0</v>
      </c>
      <c r="Z100" s="1">
        <v>33</v>
      </c>
      <c r="AA100" s="1">
        <v>10</v>
      </c>
      <c r="AB100" s="1">
        <v>120</v>
      </c>
      <c r="AC100" s="1">
        <v>59</v>
      </c>
      <c r="AD100" s="1">
        <v>8</v>
      </c>
      <c r="AE100" s="1">
        <v>18</v>
      </c>
      <c r="AF100" s="1">
        <v>94</v>
      </c>
      <c r="AG100" s="1">
        <v>46</v>
      </c>
      <c r="AH100" s="1">
        <v>32</v>
      </c>
      <c r="AI100" s="1">
        <v>46</v>
      </c>
      <c r="AJ100" s="1">
        <v>36</v>
      </c>
      <c r="AK100" s="1">
        <v>4</v>
      </c>
      <c r="AL100" s="1">
        <v>7</v>
      </c>
      <c r="AM100" s="1">
        <v>6</v>
      </c>
      <c r="AN100" s="1">
        <v>17</v>
      </c>
      <c r="AO100" s="1">
        <v>30</v>
      </c>
      <c r="AP100" s="1">
        <v>6</v>
      </c>
      <c r="AQ100" s="1">
        <v>30</v>
      </c>
      <c r="AR100" s="1">
        <v>10</v>
      </c>
      <c r="AS100" s="1">
        <v>39</v>
      </c>
      <c r="AT100" s="1">
        <v>11</v>
      </c>
      <c r="AU100" s="1">
        <v>34</v>
      </c>
      <c r="AV100" s="1">
        <v>13</v>
      </c>
      <c r="AW100" s="1">
        <v>43</v>
      </c>
      <c r="AX100" s="1">
        <v>6</v>
      </c>
      <c r="AY100" s="1">
        <v>32</v>
      </c>
      <c r="AZ100" s="1">
        <v>3</v>
      </c>
      <c r="BA100" s="1">
        <v>4</v>
      </c>
      <c r="BB100" s="1">
        <v>3</v>
      </c>
      <c r="BC100" s="1">
        <v>10</v>
      </c>
      <c r="BD100" s="1">
        <v>24</v>
      </c>
      <c r="BE100" s="1">
        <v>3</v>
      </c>
      <c r="BF100" s="1">
        <v>20</v>
      </c>
      <c r="BG100" s="1">
        <v>14</v>
      </c>
      <c r="BH100" s="1">
        <v>17</v>
      </c>
      <c r="BI100" s="1">
        <v>15</v>
      </c>
      <c r="BJ100" s="1">
        <v>46</v>
      </c>
      <c r="BK100" s="1">
        <v>45</v>
      </c>
      <c r="BL100" s="1">
        <v>13</v>
      </c>
      <c r="BM100" s="1">
        <v>31</v>
      </c>
      <c r="BN100" s="1">
        <v>81</v>
      </c>
      <c r="BO100" s="1">
        <v>31</v>
      </c>
      <c r="BP100" s="1">
        <v>1.75</v>
      </c>
      <c r="BQ100" s="1">
        <v>1.35</v>
      </c>
      <c r="BR100" s="1">
        <v>0.34</v>
      </c>
      <c r="BS100" s="1">
        <v>1.1499999999999999</v>
      </c>
      <c r="BT100" s="1">
        <v>23</v>
      </c>
      <c r="BU100" s="1">
        <v>1</v>
      </c>
      <c r="BV100" s="1">
        <v>46.64</v>
      </c>
      <c r="BW100" s="1">
        <v>7</v>
      </c>
      <c r="BX100" s="1">
        <v>44.97</v>
      </c>
      <c r="BY100" s="1">
        <v>514.59</v>
      </c>
      <c r="BZ100" s="1">
        <v>69.14</v>
      </c>
      <c r="CA100" s="1">
        <v>11.05</v>
      </c>
      <c r="CB100" s="1">
        <v>78.930000000000007</v>
      </c>
      <c r="CC100" s="1">
        <v>13.92</v>
      </c>
      <c r="CD100" s="1">
        <v>67.739999999999995</v>
      </c>
      <c r="CE100" s="1">
        <v>0.83</v>
      </c>
      <c r="CF100" s="1">
        <v>52.05</v>
      </c>
      <c r="CG100" s="1">
        <v>0.67</v>
      </c>
      <c r="CH100" s="1">
        <v>49.47</v>
      </c>
      <c r="CI100" s="1">
        <v>0</v>
      </c>
      <c r="CJ100" s="1">
        <v>45.91</v>
      </c>
      <c r="CK100" s="1">
        <v>0.03</v>
      </c>
      <c r="CL100" s="1">
        <v>62.22</v>
      </c>
      <c r="CM100" s="1">
        <v>0.1</v>
      </c>
      <c r="CN100" s="1">
        <v>71.84</v>
      </c>
      <c r="CO100" s="1">
        <v>0.16</v>
      </c>
      <c r="CP100" s="1">
        <v>87.51</v>
      </c>
      <c r="CQ100" s="1">
        <v>0.21</v>
      </c>
      <c r="CR100" s="1">
        <v>75.58</v>
      </c>
      <c r="CS100" s="1">
        <v>28</v>
      </c>
      <c r="CT100" s="1">
        <v>23</v>
      </c>
      <c r="CU100" s="1">
        <v>36</v>
      </c>
      <c r="CV100" s="1">
        <v>30</v>
      </c>
      <c r="CW100" s="1">
        <v>24</v>
      </c>
      <c r="CX100" s="1">
        <v>32</v>
      </c>
      <c r="CY100" s="1">
        <v>31</v>
      </c>
      <c r="CZ100" s="1">
        <v>16</v>
      </c>
      <c r="DA100" s="1">
        <v>0</v>
      </c>
    </row>
    <row r="101" spans="1:105" x14ac:dyDescent="0.15">
      <c r="A101" s="1" t="s">
        <v>92</v>
      </c>
      <c r="B101" s="1" t="s">
        <v>101</v>
      </c>
      <c r="C101" s="1">
        <v>1</v>
      </c>
      <c r="D101" s="1">
        <v>13</v>
      </c>
      <c r="E101" s="1">
        <v>47</v>
      </c>
      <c r="F101" s="1">
        <v>120</v>
      </c>
      <c r="G101" s="1">
        <v>105</v>
      </c>
      <c r="H101" s="1">
        <v>15</v>
      </c>
      <c r="I101" s="1">
        <v>72</v>
      </c>
      <c r="J101" s="1">
        <v>65</v>
      </c>
      <c r="K101" s="1">
        <v>45</v>
      </c>
      <c r="L101" s="1">
        <v>65</v>
      </c>
      <c r="M101" s="1">
        <v>130</v>
      </c>
      <c r="N101" s="1">
        <v>126</v>
      </c>
      <c r="O101" s="1">
        <v>51</v>
      </c>
      <c r="P101" s="1">
        <v>57</v>
      </c>
      <c r="Q101" s="1">
        <v>27</v>
      </c>
      <c r="R101" s="1">
        <v>56</v>
      </c>
      <c r="S101" s="1">
        <v>113</v>
      </c>
      <c r="T101" s="1">
        <v>109</v>
      </c>
      <c r="U101" s="1">
        <v>243</v>
      </c>
      <c r="V101" s="1">
        <v>120</v>
      </c>
      <c r="W101" s="1">
        <v>120</v>
      </c>
      <c r="X101" s="1">
        <v>21</v>
      </c>
      <c r="Y101" s="1">
        <v>0</v>
      </c>
      <c r="Z101" s="1">
        <v>21</v>
      </c>
      <c r="AA101" s="1">
        <v>6</v>
      </c>
      <c r="AB101" s="1">
        <v>120</v>
      </c>
      <c r="AC101" s="1">
        <v>78</v>
      </c>
      <c r="AD101" s="1">
        <v>11</v>
      </c>
      <c r="AE101" s="1">
        <v>17</v>
      </c>
      <c r="AF101" s="1">
        <v>92</v>
      </c>
      <c r="AG101" s="1">
        <v>27</v>
      </c>
      <c r="AH101" s="1">
        <v>49</v>
      </c>
      <c r="AI101" s="1">
        <v>51</v>
      </c>
      <c r="AJ101" s="1">
        <v>42</v>
      </c>
      <c r="AK101" s="1">
        <v>5</v>
      </c>
      <c r="AL101" s="1">
        <v>8</v>
      </c>
      <c r="AM101" s="1">
        <v>8</v>
      </c>
      <c r="AN101" s="1">
        <v>21</v>
      </c>
      <c r="AO101" s="1">
        <v>35</v>
      </c>
      <c r="AP101" s="1">
        <v>6</v>
      </c>
      <c r="AQ101" s="1">
        <v>30</v>
      </c>
      <c r="AR101" s="1">
        <v>10</v>
      </c>
      <c r="AS101" s="1">
        <v>39</v>
      </c>
      <c r="AT101" s="1">
        <v>18</v>
      </c>
      <c r="AU101" s="1">
        <v>57</v>
      </c>
      <c r="AV101" s="1">
        <v>20</v>
      </c>
      <c r="AW101" s="1">
        <v>64</v>
      </c>
      <c r="AX101" s="1">
        <v>21</v>
      </c>
      <c r="AY101" s="1">
        <v>53</v>
      </c>
      <c r="AZ101" s="1">
        <v>3</v>
      </c>
      <c r="BA101" s="1">
        <v>4</v>
      </c>
      <c r="BB101" s="1">
        <v>7</v>
      </c>
      <c r="BC101" s="1">
        <v>14</v>
      </c>
      <c r="BD101" s="1">
        <v>31</v>
      </c>
      <c r="BE101" s="1">
        <v>7</v>
      </c>
      <c r="BF101" s="1">
        <v>36</v>
      </c>
      <c r="BG101" s="1">
        <v>20</v>
      </c>
      <c r="BH101" s="1">
        <v>16</v>
      </c>
      <c r="BI101" s="1">
        <v>16</v>
      </c>
      <c r="BJ101" s="1">
        <v>52</v>
      </c>
      <c r="BK101" s="1">
        <v>49</v>
      </c>
      <c r="BL101" s="1">
        <v>26</v>
      </c>
      <c r="BM101" s="1">
        <v>55</v>
      </c>
      <c r="BN101" s="1">
        <v>105</v>
      </c>
      <c r="BO101" s="1">
        <v>58</v>
      </c>
      <c r="BP101" s="1">
        <v>3.4</v>
      </c>
      <c r="BQ101" s="1">
        <v>4.24</v>
      </c>
      <c r="BR101" s="1">
        <v>3.12</v>
      </c>
      <c r="BS101" s="1">
        <v>3.59</v>
      </c>
      <c r="BT101" s="1">
        <v>60</v>
      </c>
      <c r="BU101" s="1">
        <v>0</v>
      </c>
      <c r="BV101" s="1">
        <v>42.82</v>
      </c>
      <c r="BW101" s="1">
        <v>4</v>
      </c>
      <c r="BX101" s="1">
        <v>39.25</v>
      </c>
      <c r="BY101" s="1">
        <v>427.14</v>
      </c>
      <c r="BZ101" s="1">
        <v>53.95</v>
      </c>
      <c r="CA101" s="1">
        <v>8.2100000000000009</v>
      </c>
      <c r="CB101" s="1">
        <v>67.98</v>
      </c>
      <c r="CC101" s="1">
        <v>7.72</v>
      </c>
      <c r="CD101" s="1">
        <v>55.53</v>
      </c>
      <c r="CE101" s="1">
        <v>1.33</v>
      </c>
      <c r="CF101" s="1">
        <v>38.700000000000003</v>
      </c>
      <c r="CG101" s="1">
        <v>0.94</v>
      </c>
      <c r="CH101" s="1">
        <v>52.66</v>
      </c>
      <c r="CI101" s="1">
        <v>0</v>
      </c>
      <c r="CJ101" s="1">
        <v>45.91</v>
      </c>
      <c r="CK101" s="1">
        <v>-0.06</v>
      </c>
      <c r="CL101" s="1">
        <v>22.72</v>
      </c>
      <c r="CM101" s="1">
        <v>-0.08</v>
      </c>
      <c r="CN101" s="1">
        <v>42.38</v>
      </c>
      <c r="CO101" s="1">
        <v>0.18</v>
      </c>
      <c r="CP101" s="1">
        <v>96.67</v>
      </c>
      <c r="CQ101" s="1">
        <v>0.2</v>
      </c>
      <c r="CR101" s="1">
        <v>73.959999999999994</v>
      </c>
      <c r="CS101" s="1">
        <v>48</v>
      </c>
      <c r="CT101" s="1">
        <v>60</v>
      </c>
      <c r="CU101" s="1">
        <v>63</v>
      </c>
      <c r="CV101" s="1">
        <v>35</v>
      </c>
      <c r="CW101" s="1">
        <v>31</v>
      </c>
      <c r="CX101" s="1">
        <v>53</v>
      </c>
      <c r="CY101" s="1">
        <v>58</v>
      </c>
      <c r="CZ101" s="1">
        <v>49</v>
      </c>
      <c r="DA101" s="1">
        <v>0</v>
      </c>
    </row>
    <row r="102" spans="1:105" x14ac:dyDescent="0.15">
      <c r="A102" s="1" t="s">
        <v>100</v>
      </c>
      <c r="B102" s="1" t="s">
        <v>486</v>
      </c>
      <c r="C102" s="1">
        <v>1</v>
      </c>
      <c r="D102" s="1">
        <v>16</v>
      </c>
      <c r="E102" s="1">
        <v>47</v>
      </c>
      <c r="F102" s="1">
        <v>122</v>
      </c>
      <c r="G102" s="1">
        <v>111</v>
      </c>
      <c r="H102" s="1">
        <v>11</v>
      </c>
      <c r="I102" s="1">
        <v>67</v>
      </c>
      <c r="J102" s="1">
        <v>60</v>
      </c>
      <c r="K102" s="1">
        <v>42</v>
      </c>
      <c r="L102" s="1">
        <v>63</v>
      </c>
      <c r="M102" s="1">
        <v>123</v>
      </c>
      <c r="N102" s="1">
        <v>119</v>
      </c>
      <c r="O102" s="1">
        <v>50</v>
      </c>
      <c r="P102" s="1">
        <v>61</v>
      </c>
      <c r="Q102" s="1">
        <v>27</v>
      </c>
      <c r="R102" s="1">
        <v>62</v>
      </c>
      <c r="S102" s="1">
        <v>123</v>
      </c>
      <c r="T102" s="1">
        <v>119</v>
      </c>
      <c r="U102" s="1">
        <v>246</v>
      </c>
      <c r="V102" s="1">
        <v>122</v>
      </c>
      <c r="W102" s="1">
        <v>120</v>
      </c>
      <c r="X102" s="1">
        <v>26</v>
      </c>
      <c r="Y102" s="1">
        <v>0</v>
      </c>
      <c r="Z102" s="1">
        <v>26</v>
      </c>
      <c r="AA102" s="1">
        <v>9</v>
      </c>
      <c r="AB102" s="1">
        <v>120</v>
      </c>
      <c r="AC102" s="1">
        <v>51</v>
      </c>
      <c r="AD102" s="1">
        <v>8</v>
      </c>
      <c r="AE102" s="1">
        <v>17</v>
      </c>
      <c r="AF102" s="1">
        <v>92</v>
      </c>
      <c r="AG102" s="1">
        <v>31</v>
      </c>
      <c r="AH102" s="1">
        <v>50</v>
      </c>
      <c r="AI102" s="1">
        <v>36</v>
      </c>
      <c r="AJ102" s="1">
        <v>38</v>
      </c>
      <c r="AK102" s="1">
        <v>4</v>
      </c>
      <c r="AL102" s="1">
        <v>5</v>
      </c>
      <c r="AM102" s="1">
        <v>7</v>
      </c>
      <c r="AN102" s="1">
        <v>16</v>
      </c>
      <c r="AO102" s="1">
        <v>32</v>
      </c>
      <c r="AP102" s="1">
        <v>5</v>
      </c>
      <c r="AQ102" s="1">
        <v>27</v>
      </c>
      <c r="AR102" s="1">
        <v>9</v>
      </c>
      <c r="AS102" s="1">
        <v>38</v>
      </c>
      <c r="AT102" s="1">
        <v>14</v>
      </c>
      <c r="AU102" s="1">
        <v>45</v>
      </c>
      <c r="AV102" s="1">
        <v>15</v>
      </c>
      <c r="AW102" s="1">
        <v>48</v>
      </c>
      <c r="AX102" s="1">
        <v>8888</v>
      </c>
      <c r="AY102" s="1">
        <v>8888</v>
      </c>
      <c r="AZ102" s="1">
        <v>2</v>
      </c>
      <c r="BA102" s="1">
        <v>6</v>
      </c>
      <c r="BB102" s="1">
        <v>10</v>
      </c>
      <c r="BC102" s="1">
        <v>18</v>
      </c>
      <c r="BD102" s="1">
        <v>48</v>
      </c>
      <c r="BE102" s="1">
        <v>8</v>
      </c>
      <c r="BF102" s="1">
        <v>48</v>
      </c>
      <c r="BG102" s="1">
        <v>12</v>
      </c>
      <c r="BH102" s="1">
        <v>11</v>
      </c>
      <c r="BI102" s="1">
        <v>10</v>
      </c>
      <c r="BJ102" s="1">
        <v>33</v>
      </c>
      <c r="BK102" s="1">
        <v>36</v>
      </c>
      <c r="BL102" s="1">
        <v>14</v>
      </c>
      <c r="BM102" s="1">
        <v>34</v>
      </c>
      <c r="BN102" s="1">
        <v>89</v>
      </c>
      <c r="BO102" s="1">
        <v>38</v>
      </c>
      <c r="BP102" s="1">
        <v>3.12</v>
      </c>
      <c r="BQ102" s="1">
        <v>3.4</v>
      </c>
      <c r="BR102" s="1">
        <v>1.46</v>
      </c>
      <c r="BS102" s="1">
        <v>2.66</v>
      </c>
      <c r="BT102" s="1">
        <v>47</v>
      </c>
      <c r="BU102" s="1">
        <v>4</v>
      </c>
      <c r="BV102" s="1">
        <v>52.2</v>
      </c>
      <c r="BW102" s="1">
        <v>26</v>
      </c>
      <c r="BX102" s="1">
        <v>66.09</v>
      </c>
      <c r="BY102" s="1">
        <v>361.45</v>
      </c>
      <c r="BZ102" s="1">
        <v>36.619999999999997</v>
      </c>
      <c r="CA102" s="1">
        <v>9.83</v>
      </c>
      <c r="CB102" s="1">
        <v>65.86</v>
      </c>
      <c r="CC102" s="1">
        <v>19.88</v>
      </c>
      <c r="CD102" s="1">
        <v>76.47</v>
      </c>
      <c r="CE102" s="1">
        <v>0.09</v>
      </c>
      <c r="CF102" s="1">
        <v>60.26</v>
      </c>
      <c r="CG102" s="1">
        <v>0.37</v>
      </c>
      <c r="CH102" s="1">
        <v>37.85</v>
      </c>
      <c r="CI102" s="1">
        <v>11</v>
      </c>
      <c r="CJ102" s="1">
        <v>158.13999999999999</v>
      </c>
      <c r="CK102" s="1">
        <v>-0.01</v>
      </c>
      <c r="CL102" s="1">
        <v>46.32</v>
      </c>
      <c r="CM102" s="1">
        <v>0.03</v>
      </c>
      <c r="CN102" s="1">
        <v>56.55</v>
      </c>
      <c r="CO102" s="1">
        <v>0.01</v>
      </c>
      <c r="CP102" s="1">
        <v>47.77</v>
      </c>
      <c r="CQ102" s="1">
        <v>-0.22</v>
      </c>
      <c r="CR102" s="1">
        <v>26.91</v>
      </c>
      <c r="CS102" s="1">
        <v>38</v>
      </c>
      <c r="CT102" s="1">
        <v>47</v>
      </c>
      <c r="CU102" s="1">
        <v>46</v>
      </c>
      <c r="CV102" s="1">
        <v>32</v>
      </c>
      <c r="CW102" s="1">
        <v>48</v>
      </c>
      <c r="CX102" s="1">
        <v>8888</v>
      </c>
      <c r="CY102" s="1">
        <v>38</v>
      </c>
      <c r="CZ102" s="1">
        <v>8888</v>
      </c>
      <c r="DA102" s="1">
        <v>0</v>
      </c>
    </row>
    <row r="103" spans="1:105" x14ac:dyDescent="0.15">
      <c r="A103" s="1" t="s">
        <v>102</v>
      </c>
      <c r="B103" s="1" t="s">
        <v>487</v>
      </c>
      <c r="C103" s="1">
        <v>1</v>
      </c>
      <c r="D103" s="1">
        <v>12</v>
      </c>
      <c r="E103" s="1">
        <v>30</v>
      </c>
      <c r="F103" s="1">
        <v>95</v>
      </c>
      <c r="G103" s="1">
        <v>99</v>
      </c>
      <c r="H103" s="1">
        <v>-4</v>
      </c>
      <c r="I103" s="1">
        <v>57</v>
      </c>
      <c r="J103" s="1">
        <v>50</v>
      </c>
      <c r="K103" s="1">
        <v>39</v>
      </c>
      <c r="L103" s="1">
        <v>56</v>
      </c>
      <c r="M103" s="1">
        <v>106</v>
      </c>
      <c r="N103" s="1">
        <v>105</v>
      </c>
      <c r="O103" s="1">
        <v>49</v>
      </c>
      <c r="P103" s="1">
        <v>54</v>
      </c>
      <c r="Q103" s="1">
        <v>24</v>
      </c>
      <c r="R103" s="1">
        <v>48</v>
      </c>
      <c r="S103" s="1">
        <v>102</v>
      </c>
      <c r="T103" s="1">
        <v>101</v>
      </c>
      <c r="U103" s="1">
        <v>208</v>
      </c>
      <c r="V103" s="1">
        <v>103</v>
      </c>
      <c r="W103" s="1">
        <v>120</v>
      </c>
      <c r="X103" s="1">
        <v>21</v>
      </c>
      <c r="Y103" s="1">
        <v>0</v>
      </c>
      <c r="Z103" s="1">
        <v>21</v>
      </c>
      <c r="AA103" s="1">
        <v>6</v>
      </c>
      <c r="AB103" s="1">
        <v>120</v>
      </c>
      <c r="AC103" s="1">
        <v>43</v>
      </c>
      <c r="AD103" s="1">
        <v>5</v>
      </c>
      <c r="AE103" s="1">
        <v>11</v>
      </c>
      <c r="AF103" s="1">
        <v>76</v>
      </c>
      <c r="AG103" s="1">
        <v>27</v>
      </c>
      <c r="AH103" s="1">
        <v>45</v>
      </c>
      <c r="AI103" s="1">
        <v>39</v>
      </c>
      <c r="AJ103" s="1">
        <v>28</v>
      </c>
      <c r="AK103" s="1">
        <v>8</v>
      </c>
      <c r="AL103" s="1">
        <v>8</v>
      </c>
      <c r="AM103" s="1">
        <v>9</v>
      </c>
      <c r="AN103" s="1">
        <v>25</v>
      </c>
      <c r="AO103" s="1">
        <v>42</v>
      </c>
      <c r="AP103" s="1">
        <v>9</v>
      </c>
      <c r="AQ103" s="1">
        <v>44</v>
      </c>
      <c r="AR103" s="1">
        <v>11</v>
      </c>
      <c r="AS103" s="1">
        <v>51</v>
      </c>
      <c r="AT103" s="1">
        <v>15</v>
      </c>
      <c r="AU103" s="1">
        <v>40</v>
      </c>
      <c r="AV103" s="1">
        <v>14</v>
      </c>
      <c r="AW103" s="1">
        <v>42</v>
      </c>
      <c r="AX103" s="1">
        <v>26</v>
      </c>
      <c r="AY103" s="1">
        <v>61</v>
      </c>
      <c r="AZ103" s="1">
        <v>2</v>
      </c>
      <c r="BA103" s="1">
        <v>4</v>
      </c>
      <c r="BB103" s="1">
        <v>6</v>
      </c>
      <c r="BC103" s="1">
        <v>12</v>
      </c>
      <c r="BD103" s="1">
        <v>22</v>
      </c>
      <c r="BE103" s="1">
        <v>5</v>
      </c>
      <c r="BF103" s="1">
        <v>20</v>
      </c>
      <c r="BG103" s="1">
        <v>9</v>
      </c>
      <c r="BH103" s="1">
        <v>6</v>
      </c>
      <c r="BI103" s="1">
        <v>9</v>
      </c>
      <c r="BJ103" s="1">
        <v>24</v>
      </c>
      <c r="BK103" s="1">
        <v>29</v>
      </c>
      <c r="BL103" s="1">
        <v>26</v>
      </c>
      <c r="BM103" s="1">
        <v>54</v>
      </c>
      <c r="BN103" s="1">
        <v>92</v>
      </c>
      <c r="BO103" s="1">
        <v>46</v>
      </c>
      <c r="BP103" s="1">
        <v>3.12</v>
      </c>
      <c r="BQ103" s="1">
        <v>2.0099999999999998</v>
      </c>
      <c r="BR103" s="1">
        <v>1.37</v>
      </c>
      <c r="BS103" s="1">
        <v>2.17</v>
      </c>
      <c r="BT103" s="1">
        <v>36</v>
      </c>
      <c r="BU103" s="1">
        <v>2</v>
      </c>
      <c r="BV103" s="1">
        <v>46.88</v>
      </c>
      <c r="BW103" s="1">
        <v>25</v>
      </c>
      <c r="BX103" s="1">
        <v>63.73</v>
      </c>
      <c r="BY103" s="1">
        <v>265.35000000000002</v>
      </c>
      <c r="BZ103" s="1">
        <v>28.39</v>
      </c>
      <c r="CA103" s="1">
        <v>4.26</v>
      </c>
      <c r="CB103" s="1">
        <v>43.56</v>
      </c>
      <c r="CC103" s="1">
        <v>8.41</v>
      </c>
      <c r="CD103" s="1">
        <v>53.31</v>
      </c>
      <c r="CE103" s="1">
        <v>0.36</v>
      </c>
      <c r="CF103" s="1">
        <v>56.34</v>
      </c>
      <c r="CG103" s="1">
        <v>0.19</v>
      </c>
      <c r="CH103" s="1">
        <v>43.93</v>
      </c>
      <c r="CI103" s="1">
        <v>2</v>
      </c>
      <c r="CJ103" s="1">
        <v>57.28</v>
      </c>
      <c r="CK103" s="1">
        <v>0</v>
      </c>
      <c r="CL103" s="1">
        <v>49.83</v>
      </c>
      <c r="CM103" s="1">
        <v>0.16</v>
      </c>
      <c r="CN103" s="1">
        <v>70.459999999999994</v>
      </c>
      <c r="CO103" s="1">
        <v>0.04</v>
      </c>
      <c r="CP103" s="1">
        <v>46.24</v>
      </c>
      <c r="CQ103" s="1">
        <v>0.1</v>
      </c>
      <c r="CR103" s="1">
        <v>57.93</v>
      </c>
      <c r="CS103" s="1">
        <v>40</v>
      </c>
      <c r="CT103" s="1">
        <v>36</v>
      </c>
      <c r="CU103" s="1">
        <v>39</v>
      </c>
      <c r="CV103" s="1">
        <v>42</v>
      </c>
      <c r="CW103" s="1">
        <v>22</v>
      </c>
      <c r="CX103" s="1">
        <v>61</v>
      </c>
      <c r="CY103" s="1">
        <v>46</v>
      </c>
      <c r="CZ103" s="1">
        <v>35</v>
      </c>
      <c r="DA103" s="1">
        <v>0</v>
      </c>
    </row>
    <row r="104" spans="1:105" x14ac:dyDescent="0.15">
      <c r="A104" s="1" t="s">
        <v>96</v>
      </c>
      <c r="B104" s="1" t="s">
        <v>488</v>
      </c>
      <c r="C104" s="1">
        <v>1</v>
      </c>
      <c r="D104" s="1">
        <v>13</v>
      </c>
      <c r="E104" s="1">
        <v>45</v>
      </c>
      <c r="F104" s="1">
        <v>117</v>
      </c>
      <c r="G104" s="1">
        <v>105</v>
      </c>
      <c r="H104" s="1">
        <v>12</v>
      </c>
      <c r="I104" s="1">
        <v>76</v>
      </c>
      <c r="J104" s="1">
        <v>69</v>
      </c>
      <c r="K104" s="1">
        <v>46</v>
      </c>
      <c r="L104" s="1">
        <v>67</v>
      </c>
      <c r="M104" s="1">
        <v>136</v>
      </c>
      <c r="N104" s="1">
        <v>132</v>
      </c>
      <c r="O104" s="1">
        <v>71</v>
      </c>
      <c r="P104" s="1">
        <v>72</v>
      </c>
      <c r="Q104" s="1">
        <v>29</v>
      </c>
      <c r="R104" s="1">
        <v>60</v>
      </c>
      <c r="S104" s="1">
        <v>132</v>
      </c>
      <c r="T104" s="1">
        <v>129</v>
      </c>
      <c r="U104" s="1">
        <v>268</v>
      </c>
      <c r="V104" s="1">
        <v>134</v>
      </c>
      <c r="W104" s="1">
        <v>120</v>
      </c>
      <c r="X104" s="1">
        <v>27</v>
      </c>
      <c r="Y104" s="1">
        <v>0</v>
      </c>
      <c r="Z104" s="1">
        <v>27</v>
      </c>
      <c r="AA104" s="1">
        <v>8</v>
      </c>
      <c r="AB104" s="1">
        <v>120</v>
      </c>
      <c r="AC104" s="1">
        <v>68</v>
      </c>
      <c r="AD104" s="1">
        <v>10</v>
      </c>
      <c r="AE104" s="1">
        <v>18</v>
      </c>
      <c r="AF104" s="1">
        <v>94</v>
      </c>
      <c r="AG104" s="1">
        <v>45</v>
      </c>
      <c r="AH104" s="1">
        <v>31</v>
      </c>
      <c r="AI104" s="1">
        <v>49</v>
      </c>
      <c r="AJ104" s="1">
        <v>43</v>
      </c>
      <c r="AK104" s="1">
        <v>6</v>
      </c>
      <c r="AL104" s="1">
        <v>8</v>
      </c>
      <c r="AM104" s="1">
        <v>10</v>
      </c>
      <c r="AN104" s="1">
        <v>24</v>
      </c>
      <c r="AO104" s="1">
        <v>41</v>
      </c>
      <c r="AP104" s="1">
        <v>9</v>
      </c>
      <c r="AQ104" s="1">
        <v>44</v>
      </c>
      <c r="AR104" s="1">
        <v>12</v>
      </c>
      <c r="AS104" s="1">
        <v>58</v>
      </c>
      <c r="AT104" s="1">
        <v>21</v>
      </c>
      <c r="AU104" s="1">
        <v>62</v>
      </c>
      <c r="AV104" s="1">
        <v>19</v>
      </c>
      <c r="AW104" s="1">
        <v>58</v>
      </c>
      <c r="AX104" s="1">
        <v>25</v>
      </c>
      <c r="AY104" s="1">
        <v>61</v>
      </c>
      <c r="AZ104" s="1">
        <v>2</v>
      </c>
      <c r="BA104" s="1">
        <v>7</v>
      </c>
      <c r="BB104" s="1">
        <v>10</v>
      </c>
      <c r="BC104" s="1">
        <v>19</v>
      </c>
      <c r="BD104" s="1">
        <v>35</v>
      </c>
      <c r="BE104" s="1">
        <v>10</v>
      </c>
      <c r="BF104" s="1">
        <v>52</v>
      </c>
      <c r="BG104" s="1">
        <v>19</v>
      </c>
      <c r="BH104" s="1">
        <v>21</v>
      </c>
      <c r="BI104" s="1">
        <v>23</v>
      </c>
      <c r="BJ104" s="1">
        <v>63</v>
      </c>
      <c r="BK104" s="1">
        <v>57</v>
      </c>
      <c r="BL104" s="1">
        <v>25</v>
      </c>
      <c r="BM104" s="1">
        <v>53</v>
      </c>
      <c r="BN104" s="1">
        <v>91</v>
      </c>
      <c r="BO104" s="1">
        <v>44</v>
      </c>
      <c r="BP104" s="1">
        <v>4.24</v>
      </c>
      <c r="BQ104" s="1">
        <v>4.24</v>
      </c>
      <c r="BR104" s="1">
        <v>1.9500000000000002</v>
      </c>
      <c r="BS104" s="1">
        <v>3.48</v>
      </c>
      <c r="BT104" s="1">
        <v>56</v>
      </c>
      <c r="BU104" s="1">
        <v>2</v>
      </c>
      <c r="BV104" s="1">
        <v>48.76</v>
      </c>
      <c r="BW104" s="1">
        <v>4</v>
      </c>
      <c r="BX104" s="1">
        <v>38.04</v>
      </c>
      <c r="BY104" s="1">
        <v>469.63</v>
      </c>
      <c r="BZ104" s="1">
        <v>65.61</v>
      </c>
      <c r="CA104" s="1">
        <v>6.9</v>
      </c>
      <c r="CB104" s="1">
        <v>61.85</v>
      </c>
      <c r="CC104" s="1">
        <v>5.84</v>
      </c>
      <c r="CD104" s="1">
        <v>49.57</v>
      </c>
      <c r="CE104" s="1">
        <v>1.32</v>
      </c>
      <c r="CF104" s="1">
        <v>37.82</v>
      </c>
      <c r="CG104" s="1">
        <v>1.66</v>
      </c>
      <c r="CH104" s="1">
        <v>56.1</v>
      </c>
      <c r="CI104" s="1">
        <v>0</v>
      </c>
      <c r="CJ104" s="1">
        <v>45.77</v>
      </c>
      <c r="CK104" s="1">
        <v>0</v>
      </c>
      <c r="CL104" s="1">
        <v>52.03</v>
      </c>
      <c r="CM104" s="1">
        <v>0</v>
      </c>
      <c r="CN104" s="1">
        <v>57.45</v>
      </c>
      <c r="CO104" s="1">
        <v>0.11</v>
      </c>
      <c r="CP104" s="1">
        <v>72.84</v>
      </c>
      <c r="CQ104" s="1">
        <v>0.05</v>
      </c>
      <c r="CR104" s="1">
        <v>56.01</v>
      </c>
      <c r="CS104" s="1">
        <v>40</v>
      </c>
      <c r="CT104" s="1">
        <v>56</v>
      </c>
      <c r="CU104" s="1">
        <v>62</v>
      </c>
      <c r="CV104" s="1">
        <v>41</v>
      </c>
      <c r="CW104" s="1">
        <v>39</v>
      </c>
      <c r="CX104" s="1">
        <v>61</v>
      </c>
      <c r="CY104" s="1">
        <v>44</v>
      </c>
      <c r="CZ104" s="1">
        <v>48</v>
      </c>
      <c r="DA104" s="1">
        <v>0</v>
      </c>
    </row>
    <row r="105" spans="1:105" x14ac:dyDescent="0.15">
      <c r="A105" s="1" t="s">
        <v>112</v>
      </c>
      <c r="B105" s="1" t="s">
        <v>117</v>
      </c>
      <c r="C105" s="1">
        <v>3</v>
      </c>
      <c r="D105" s="1">
        <v>14</v>
      </c>
      <c r="E105" s="1">
        <v>16</v>
      </c>
      <c r="F105" s="1">
        <v>74</v>
      </c>
      <c r="G105" s="1">
        <v>102</v>
      </c>
      <c r="H105" s="1">
        <v>-28</v>
      </c>
      <c r="I105" s="1">
        <v>32</v>
      </c>
      <c r="J105" s="1">
        <v>23</v>
      </c>
      <c r="K105" s="1">
        <v>24</v>
      </c>
      <c r="L105" s="1">
        <v>36</v>
      </c>
      <c r="M105" s="1">
        <v>59</v>
      </c>
      <c r="N105" s="1">
        <v>72</v>
      </c>
      <c r="O105" s="1">
        <v>23</v>
      </c>
      <c r="P105" s="1">
        <v>42</v>
      </c>
      <c r="Q105" s="1">
        <v>19</v>
      </c>
      <c r="R105" s="1">
        <v>47</v>
      </c>
      <c r="S105" s="1">
        <v>89</v>
      </c>
      <c r="T105" s="1">
        <v>91</v>
      </c>
      <c r="U105" s="1">
        <v>148</v>
      </c>
      <c r="V105" s="1">
        <v>78</v>
      </c>
      <c r="W105" s="1">
        <v>120</v>
      </c>
      <c r="X105" s="1">
        <v>21</v>
      </c>
      <c r="Y105" s="1">
        <v>2</v>
      </c>
      <c r="Z105" s="1">
        <v>19</v>
      </c>
      <c r="AA105" s="1">
        <v>5</v>
      </c>
      <c r="AB105" s="1">
        <v>120</v>
      </c>
      <c r="AC105" s="1">
        <v>46</v>
      </c>
      <c r="AD105" s="1">
        <v>6</v>
      </c>
      <c r="AE105" s="1">
        <v>11</v>
      </c>
      <c r="AF105" s="1">
        <v>76</v>
      </c>
      <c r="AG105" s="1">
        <v>43</v>
      </c>
      <c r="AH105" s="1">
        <v>35</v>
      </c>
      <c r="AI105" s="1">
        <v>31</v>
      </c>
      <c r="AJ105" s="1">
        <v>27</v>
      </c>
      <c r="AK105" s="1">
        <v>4</v>
      </c>
      <c r="AL105" s="1">
        <v>6</v>
      </c>
      <c r="AM105" s="1">
        <v>7</v>
      </c>
      <c r="AN105" s="1">
        <v>17</v>
      </c>
      <c r="AO105" s="1">
        <v>32</v>
      </c>
      <c r="AP105" s="1">
        <v>1</v>
      </c>
      <c r="AQ105" s="1">
        <v>20</v>
      </c>
      <c r="AR105" s="1">
        <v>7</v>
      </c>
      <c r="AS105" s="1">
        <v>26</v>
      </c>
      <c r="AT105" s="1">
        <v>11</v>
      </c>
      <c r="AU105" s="1">
        <v>32</v>
      </c>
      <c r="AV105" s="1">
        <v>9</v>
      </c>
      <c r="AW105" s="1">
        <v>29</v>
      </c>
      <c r="AX105" s="1">
        <v>19</v>
      </c>
      <c r="AY105" s="1">
        <v>48</v>
      </c>
      <c r="AZ105" s="1">
        <v>1</v>
      </c>
      <c r="BA105" s="1">
        <v>1</v>
      </c>
      <c r="BB105" s="1">
        <v>2</v>
      </c>
      <c r="BC105" s="1">
        <v>4</v>
      </c>
      <c r="BD105" s="1">
        <v>17</v>
      </c>
      <c r="BE105" s="1">
        <v>2</v>
      </c>
      <c r="BF105" s="1">
        <v>20</v>
      </c>
      <c r="BG105" s="1">
        <v>8</v>
      </c>
      <c r="BH105" s="1">
        <v>9</v>
      </c>
      <c r="BI105" s="1">
        <v>11</v>
      </c>
      <c r="BJ105" s="1">
        <v>28</v>
      </c>
      <c r="BK105" s="1">
        <v>33</v>
      </c>
      <c r="BL105" s="1">
        <v>9</v>
      </c>
      <c r="BM105" s="1">
        <v>24</v>
      </c>
      <c r="BN105" s="1">
        <v>67</v>
      </c>
      <c r="BO105" s="1">
        <v>15</v>
      </c>
      <c r="BP105" s="1">
        <v>2.23</v>
      </c>
      <c r="BQ105" s="1">
        <v>1.87</v>
      </c>
      <c r="BR105" s="1">
        <v>0.59</v>
      </c>
      <c r="BS105" s="1">
        <v>1.56</v>
      </c>
      <c r="BT105" s="1">
        <v>28</v>
      </c>
      <c r="BU105" s="1">
        <v>3</v>
      </c>
      <c r="BV105" s="1">
        <v>52.1</v>
      </c>
      <c r="BW105" s="1">
        <v>19</v>
      </c>
      <c r="BX105" s="1">
        <v>55.5</v>
      </c>
      <c r="BY105" s="1">
        <v>438.31</v>
      </c>
      <c r="BZ105" s="1">
        <v>60.16</v>
      </c>
      <c r="CA105" s="1">
        <v>4.62</v>
      </c>
      <c r="CB105" s="1">
        <v>46.19</v>
      </c>
      <c r="CC105" s="1">
        <v>4.5</v>
      </c>
      <c r="CD105" s="1">
        <v>42.92</v>
      </c>
      <c r="CE105" s="1">
        <v>0.37</v>
      </c>
      <c r="CF105" s="1">
        <v>56.47</v>
      </c>
      <c r="CG105" s="1">
        <v>0.37</v>
      </c>
      <c r="CH105" s="1">
        <v>46.95</v>
      </c>
      <c r="CI105" s="1">
        <v>1</v>
      </c>
      <c r="CJ105" s="1">
        <v>66.92</v>
      </c>
      <c r="CK105" s="1">
        <v>-0.01</v>
      </c>
      <c r="CL105" s="1">
        <v>45.78</v>
      </c>
      <c r="CM105" s="1">
        <v>-0.02</v>
      </c>
      <c r="CN105" s="1">
        <v>52.74</v>
      </c>
      <c r="CO105" s="1">
        <v>0.05</v>
      </c>
      <c r="CP105" s="1">
        <v>49.78</v>
      </c>
      <c r="CQ105" s="1">
        <v>-0.12</v>
      </c>
      <c r="CR105" s="1">
        <v>37.29</v>
      </c>
      <c r="CS105" s="1">
        <v>22</v>
      </c>
      <c r="CT105" s="1">
        <v>28</v>
      </c>
      <c r="CU105" s="1">
        <v>26</v>
      </c>
      <c r="CV105" s="1">
        <v>32</v>
      </c>
      <c r="CW105" s="1">
        <v>17</v>
      </c>
      <c r="CX105" s="1">
        <v>48</v>
      </c>
      <c r="CY105" s="1">
        <v>15</v>
      </c>
      <c r="CZ105" s="1">
        <v>12</v>
      </c>
      <c r="DA105" s="1">
        <v>0</v>
      </c>
    </row>
    <row r="106" spans="1:105" x14ac:dyDescent="0.15">
      <c r="A106" s="1" t="s">
        <v>108</v>
      </c>
      <c r="B106" s="1" t="s">
        <v>310</v>
      </c>
      <c r="C106" s="1">
        <v>3</v>
      </c>
      <c r="D106" s="1">
        <v>13</v>
      </c>
      <c r="E106" s="1">
        <v>25</v>
      </c>
      <c r="F106" s="1">
        <v>87</v>
      </c>
      <c r="G106" s="1">
        <v>102</v>
      </c>
      <c r="H106" s="1">
        <v>-15</v>
      </c>
      <c r="I106" s="1">
        <v>51</v>
      </c>
      <c r="J106" s="1">
        <v>42</v>
      </c>
      <c r="K106" s="1">
        <v>36</v>
      </c>
      <c r="L106" s="1">
        <v>52</v>
      </c>
      <c r="M106" s="1">
        <v>94</v>
      </c>
      <c r="N106" s="1">
        <v>95</v>
      </c>
      <c r="O106" s="1">
        <v>33</v>
      </c>
      <c r="P106" s="1">
        <v>48</v>
      </c>
      <c r="Q106" s="1">
        <v>24</v>
      </c>
      <c r="R106" s="1">
        <v>54</v>
      </c>
      <c r="S106" s="1">
        <v>102</v>
      </c>
      <c r="T106" s="1">
        <v>101</v>
      </c>
      <c r="U106" s="1">
        <v>196</v>
      </c>
      <c r="V106" s="1">
        <v>99</v>
      </c>
      <c r="W106" s="1">
        <v>120</v>
      </c>
      <c r="X106" s="1">
        <v>30</v>
      </c>
      <c r="Y106" s="1">
        <v>0</v>
      </c>
      <c r="Z106" s="1">
        <v>30</v>
      </c>
      <c r="AA106" s="1">
        <v>10</v>
      </c>
      <c r="AB106" s="1">
        <v>120</v>
      </c>
      <c r="AC106" s="1">
        <v>50</v>
      </c>
      <c r="AD106" s="1">
        <v>7</v>
      </c>
      <c r="AE106" s="1">
        <v>17</v>
      </c>
      <c r="AF106" s="1">
        <v>92</v>
      </c>
      <c r="AG106" s="1">
        <v>45</v>
      </c>
      <c r="AH106" s="1">
        <v>35</v>
      </c>
      <c r="AI106" s="1">
        <v>40</v>
      </c>
      <c r="AJ106" s="1">
        <v>33</v>
      </c>
      <c r="AK106" s="1">
        <v>8</v>
      </c>
      <c r="AL106" s="1">
        <v>11</v>
      </c>
      <c r="AM106" s="1">
        <v>11</v>
      </c>
      <c r="AN106" s="1">
        <v>30</v>
      </c>
      <c r="AO106" s="1">
        <v>53</v>
      </c>
      <c r="AP106" s="1">
        <v>10</v>
      </c>
      <c r="AQ106" s="1">
        <v>50</v>
      </c>
      <c r="AR106" s="1">
        <v>10</v>
      </c>
      <c r="AS106" s="1">
        <v>45</v>
      </c>
      <c r="AT106" s="1">
        <v>15</v>
      </c>
      <c r="AU106" s="1">
        <v>49</v>
      </c>
      <c r="AV106" s="1">
        <v>11</v>
      </c>
      <c r="AW106" s="1">
        <v>38</v>
      </c>
      <c r="AX106" s="1">
        <v>5</v>
      </c>
      <c r="AY106" s="1">
        <v>35</v>
      </c>
      <c r="AZ106" s="1">
        <v>5</v>
      </c>
      <c r="BA106" s="1">
        <v>9</v>
      </c>
      <c r="BB106" s="1">
        <v>9</v>
      </c>
      <c r="BC106" s="1">
        <v>23</v>
      </c>
      <c r="BD106" s="1">
        <v>50</v>
      </c>
      <c r="BE106" s="1">
        <v>9</v>
      </c>
      <c r="BF106" s="1">
        <v>49</v>
      </c>
      <c r="BG106" s="1">
        <v>7</v>
      </c>
      <c r="BH106" s="1">
        <v>6</v>
      </c>
      <c r="BI106" s="1">
        <v>5</v>
      </c>
      <c r="BJ106" s="1">
        <v>18</v>
      </c>
      <c r="BK106" s="1">
        <v>25</v>
      </c>
      <c r="BL106" s="1">
        <v>22</v>
      </c>
      <c r="BM106" s="1">
        <v>48</v>
      </c>
      <c r="BN106" s="1">
        <v>87</v>
      </c>
      <c r="BO106" s="1">
        <v>37</v>
      </c>
      <c r="BP106" s="1">
        <v>3.09</v>
      </c>
      <c r="BQ106" s="1">
        <v>1.75</v>
      </c>
      <c r="BR106" s="1">
        <v>1.1000000000000001</v>
      </c>
      <c r="BS106" s="1">
        <v>1.98</v>
      </c>
      <c r="BT106" s="1">
        <v>37</v>
      </c>
      <c r="BU106" s="1">
        <v>2</v>
      </c>
      <c r="BV106" s="1">
        <v>50.45</v>
      </c>
      <c r="BW106" s="1">
        <v>5</v>
      </c>
      <c r="BX106" s="1">
        <v>41.16</v>
      </c>
      <c r="BY106" s="1">
        <v>518.55999999999995</v>
      </c>
      <c r="BZ106" s="1">
        <v>69.77</v>
      </c>
      <c r="CA106" s="1">
        <v>11.98</v>
      </c>
      <c r="CB106" s="1">
        <v>81.91</v>
      </c>
      <c r="CC106" s="1">
        <v>25.25</v>
      </c>
      <c r="CD106" s="1">
        <v>80.069999999999993</v>
      </c>
      <c r="CE106" s="1">
        <v>1.05</v>
      </c>
      <c r="CF106" s="1">
        <v>46.21</v>
      </c>
      <c r="CG106" s="1">
        <v>1.26</v>
      </c>
      <c r="CH106" s="1">
        <v>56.42</v>
      </c>
      <c r="CI106" s="1">
        <v>2</v>
      </c>
      <c r="CJ106" s="1">
        <v>85.39</v>
      </c>
      <c r="CK106" s="1">
        <v>0.01</v>
      </c>
      <c r="CL106" s="1">
        <v>56.57</v>
      </c>
      <c r="CM106" s="1">
        <v>0.11</v>
      </c>
      <c r="CN106" s="1">
        <v>74.05</v>
      </c>
      <c r="CO106" s="1">
        <v>0.11</v>
      </c>
      <c r="CP106" s="1">
        <v>71.040000000000006</v>
      </c>
      <c r="CQ106" s="1">
        <v>0.14000000000000001</v>
      </c>
      <c r="CR106" s="1">
        <v>67.69</v>
      </c>
      <c r="CS106" s="1">
        <v>35</v>
      </c>
      <c r="CT106" s="1">
        <v>37</v>
      </c>
      <c r="CU106" s="1">
        <v>42</v>
      </c>
      <c r="CV106" s="1">
        <v>53</v>
      </c>
      <c r="CW106" s="1">
        <v>50</v>
      </c>
      <c r="CX106" s="1">
        <v>35</v>
      </c>
      <c r="CY106" s="1">
        <v>37</v>
      </c>
      <c r="CZ106" s="1">
        <v>36</v>
      </c>
      <c r="DA106" s="1">
        <v>0</v>
      </c>
    </row>
    <row r="107" spans="1:105" x14ac:dyDescent="0.15">
      <c r="A107" s="1" t="s">
        <v>98</v>
      </c>
      <c r="B107" s="1" t="s">
        <v>489</v>
      </c>
      <c r="C107" s="1">
        <v>3</v>
      </c>
      <c r="D107" s="1">
        <v>16</v>
      </c>
      <c r="E107" s="1">
        <v>45</v>
      </c>
      <c r="F107" s="1">
        <v>119</v>
      </c>
      <c r="G107" s="1">
        <v>106</v>
      </c>
      <c r="H107" s="1">
        <v>13</v>
      </c>
      <c r="I107" s="1">
        <v>68</v>
      </c>
      <c r="J107" s="1">
        <v>61</v>
      </c>
      <c r="K107" s="1">
        <v>42</v>
      </c>
      <c r="L107" s="1">
        <v>63</v>
      </c>
      <c r="M107" s="1">
        <v>124</v>
      </c>
      <c r="N107" s="1">
        <v>119</v>
      </c>
      <c r="O107" s="1">
        <v>46</v>
      </c>
      <c r="P107" s="1">
        <v>58</v>
      </c>
      <c r="Q107" s="1">
        <v>26</v>
      </c>
      <c r="R107" s="1">
        <v>61</v>
      </c>
      <c r="S107" s="1">
        <v>119</v>
      </c>
      <c r="T107" s="1">
        <v>116</v>
      </c>
      <c r="U107" s="1">
        <v>235</v>
      </c>
      <c r="V107" s="1">
        <v>116</v>
      </c>
      <c r="W107" s="1">
        <v>120</v>
      </c>
      <c r="X107" s="1">
        <v>22</v>
      </c>
      <c r="Y107" s="1">
        <v>2</v>
      </c>
      <c r="Z107" s="1">
        <v>20</v>
      </c>
      <c r="AA107" s="1">
        <v>7</v>
      </c>
      <c r="AB107" s="1">
        <v>120</v>
      </c>
      <c r="AC107" s="1">
        <v>44</v>
      </c>
      <c r="AD107" s="1">
        <v>7</v>
      </c>
      <c r="AE107" s="1">
        <v>14</v>
      </c>
      <c r="AF107" s="1">
        <v>84</v>
      </c>
      <c r="AG107" s="1">
        <v>28</v>
      </c>
      <c r="AH107" s="1">
        <v>53</v>
      </c>
      <c r="AI107" s="1">
        <v>42</v>
      </c>
      <c r="AJ107" s="1">
        <v>43</v>
      </c>
      <c r="AK107" s="1">
        <v>5</v>
      </c>
      <c r="AL107" s="1">
        <v>5</v>
      </c>
      <c r="AM107" s="1">
        <v>9</v>
      </c>
      <c r="AN107" s="1">
        <v>19</v>
      </c>
      <c r="AO107" s="1">
        <v>35</v>
      </c>
      <c r="AP107" s="1">
        <v>9</v>
      </c>
      <c r="AQ107" s="1">
        <v>45</v>
      </c>
      <c r="AR107" s="1">
        <v>9</v>
      </c>
      <c r="AS107" s="1">
        <v>36</v>
      </c>
      <c r="AT107" s="1">
        <v>12</v>
      </c>
      <c r="AU107" s="1">
        <v>38</v>
      </c>
      <c r="AV107" s="1">
        <v>16</v>
      </c>
      <c r="AW107" s="1">
        <v>51</v>
      </c>
      <c r="AX107" s="1">
        <v>11</v>
      </c>
      <c r="AY107" s="1">
        <v>42</v>
      </c>
      <c r="AZ107" s="1">
        <v>3</v>
      </c>
      <c r="BA107" s="1">
        <v>3</v>
      </c>
      <c r="BB107" s="1">
        <v>7</v>
      </c>
      <c r="BC107" s="1">
        <v>13</v>
      </c>
      <c r="BD107" s="1">
        <v>38</v>
      </c>
      <c r="BE107" s="1">
        <v>6</v>
      </c>
      <c r="BF107" s="1">
        <v>38</v>
      </c>
      <c r="BG107" s="1">
        <v>10</v>
      </c>
      <c r="BH107" s="1">
        <v>7</v>
      </c>
      <c r="BI107" s="1">
        <v>12</v>
      </c>
      <c r="BJ107" s="1">
        <v>29</v>
      </c>
      <c r="BK107" s="1">
        <v>36</v>
      </c>
      <c r="BL107" s="1">
        <v>21</v>
      </c>
      <c r="BM107" s="1">
        <v>47</v>
      </c>
      <c r="BN107" s="1">
        <v>99</v>
      </c>
      <c r="BO107" s="1">
        <v>50</v>
      </c>
      <c r="BP107" s="1">
        <v>1.81</v>
      </c>
      <c r="BQ107" s="1">
        <v>1.73</v>
      </c>
      <c r="BR107" s="1">
        <v>1.1100000000000001</v>
      </c>
      <c r="BS107" s="1">
        <v>1.55</v>
      </c>
      <c r="BT107" s="1">
        <v>29</v>
      </c>
      <c r="BU107" s="1">
        <v>0</v>
      </c>
      <c r="BV107" s="1">
        <v>39.9</v>
      </c>
      <c r="BW107" s="1">
        <v>6</v>
      </c>
      <c r="BX107" s="1">
        <v>41.22</v>
      </c>
      <c r="BY107" s="1">
        <v>462.48</v>
      </c>
      <c r="BZ107" s="1">
        <v>60.38</v>
      </c>
      <c r="CA107" s="1">
        <v>7.42</v>
      </c>
      <c r="CB107" s="1">
        <v>58.09</v>
      </c>
      <c r="CC107" s="1">
        <v>16.05</v>
      </c>
      <c r="CD107" s="1">
        <v>70.45</v>
      </c>
      <c r="CE107" s="1">
        <v>1.04</v>
      </c>
      <c r="CF107" s="1">
        <v>41.75</v>
      </c>
      <c r="CG107" s="1">
        <v>0.49</v>
      </c>
      <c r="CH107" s="1">
        <v>41.78</v>
      </c>
      <c r="CI107" s="1">
        <v>0</v>
      </c>
      <c r="CJ107" s="1">
        <v>42.49</v>
      </c>
      <c r="CK107" s="1">
        <v>-0.03</v>
      </c>
      <c r="CL107" s="1">
        <v>41.14</v>
      </c>
      <c r="CM107" s="1">
        <v>0</v>
      </c>
      <c r="CN107" s="1">
        <v>53.94</v>
      </c>
      <c r="CO107" s="1">
        <v>0.11</v>
      </c>
      <c r="CP107" s="1">
        <v>65.930000000000007</v>
      </c>
      <c r="CQ107" s="1">
        <v>0.21</v>
      </c>
      <c r="CR107" s="1">
        <v>104.23</v>
      </c>
      <c r="CS107" s="1">
        <v>47</v>
      </c>
      <c r="CT107" s="1">
        <v>29</v>
      </c>
      <c r="CU107" s="1">
        <v>43</v>
      </c>
      <c r="CV107" s="1">
        <v>35</v>
      </c>
      <c r="CW107" s="1">
        <v>38</v>
      </c>
      <c r="CX107" s="1">
        <v>42</v>
      </c>
      <c r="CY107" s="1">
        <v>50</v>
      </c>
      <c r="CZ107" s="1">
        <v>35</v>
      </c>
      <c r="DA107" s="1">
        <v>1</v>
      </c>
    </row>
    <row r="108" spans="1:105" x14ac:dyDescent="0.15">
      <c r="A108" s="1" t="s">
        <v>116</v>
      </c>
      <c r="B108" s="1" t="s">
        <v>490</v>
      </c>
      <c r="C108" s="1">
        <v>3</v>
      </c>
      <c r="D108" s="1">
        <v>11</v>
      </c>
      <c r="E108" s="1">
        <v>27</v>
      </c>
      <c r="F108" s="1">
        <v>90</v>
      </c>
      <c r="G108" s="1">
        <v>94</v>
      </c>
      <c r="H108" s="1">
        <v>-4</v>
      </c>
      <c r="I108" s="1">
        <v>27</v>
      </c>
      <c r="J108" s="1">
        <v>20</v>
      </c>
      <c r="K108" s="1">
        <v>23</v>
      </c>
      <c r="L108" s="1">
        <v>29</v>
      </c>
      <c r="M108" s="1">
        <v>49</v>
      </c>
      <c r="N108" s="1">
        <v>64</v>
      </c>
      <c r="O108" s="1">
        <v>30</v>
      </c>
      <c r="P108" s="1">
        <v>45</v>
      </c>
      <c r="Q108" s="1">
        <v>10</v>
      </c>
      <c r="R108" s="1">
        <v>29</v>
      </c>
      <c r="S108" s="1">
        <v>74</v>
      </c>
      <c r="T108" s="1">
        <v>80</v>
      </c>
      <c r="U108" s="1">
        <v>123</v>
      </c>
      <c r="V108" s="1">
        <v>70</v>
      </c>
      <c r="W108" s="1">
        <v>120</v>
      </c>
      <c r="X108" s="1">
        <v>26</v>
      </c>
      <c r="Y108" s="1">
        <v>2</v>
      </c>
      <c r="Z108" s="1">
        <v>24</v>
      </c>
      <c r="AA108" s="1">
        <v>7</v>
      </c>
      <c r="AB108" s="1">
        <v>120</v>
      </c>
      <c r="AC108" s="1">
        <v>52</v>
      </c>
      <c r="AD108" s="1">
        <v>7</v>
      </c>
      <c r="AE108" s="1">
        <v>14</v>
      </c>
      <c r="AF108" s="1">
        <v>84</v>
      </c>
      <c r="AG108" s="1">
        <v>36</v>
      </c>
      <c r="AH108" s="1">
        <v>37</v>
      </c>
      <c r="AI108" s="1">
        <v>44</v>
      </c>
      <c r="AJ108" s="1">
        <v>35</v>
      </c>
      <c r="AK108" s="1">
        <v>3</v>
      </c>
      <c r="AL108" s="1">
        <v>5</v>
      </c>
      <c r="AM108" s="1">
        <v>6</v>
      </c>
      <c r="AN108" s="1">
        <v>14</v>
      </c>
      <c r="AO108" s="1">
        <v>28</v>
      </c>
      <c r="AP108" s="1">
        <v>4</v>
      </c>
      <c r="AQ108" s="1">
        <v>21</v>
      </c>
      <c r="AR108" s="1">
        <v>10</v>
      </c>
      <c r="AS108" s="1">
        <v>42</v>
      </c>
      <c r="AT108" s="1">
        <v>16</v>
      </c>
      <c r="AU108" s="1">
        <v>45</v>
      </c>
      <c r="AV108" s="1">
        <v>7</v>
      </c>
      <c r="AW108" s="1">
        <v>22</v>
      </c>
      <c r="AX108" s="1">
        <v>19</v>
      </c>
      <c r="AY108" s="1">
        <v>43</v>
      </c>
      <c r="AZ108" s="1">
        <v>3</v>
      </c>
      <c r="BA108" s="1">
        <v>5</v>
      </c>
      <c r="BB108" s="1">
        <v>7</v>
      </c>
      <c r="BC108" s="1">
        <v>15</v>
      </c>
      <c r="BD108" s="1">
        <v>30</v>
      </c>
      <c r="BE108" s="1">
        <v>7</v>
      </c>
      <c r="BF108" s="1">
        <v>33</v>
      </c>
      <c r="BG108" s="1">
        <v>6</v>
      </c>
      <c r="BH108" s="1">
        <v>2</v>
      </c>
      <c r="BI108" s="1">
        <v>12</v>
      </c>
      <c r="BJ108" s="1">
        <v>20</v>
      </c>
      <c r="BK108" s="1">
        <v>29</v>
      </c>
      <c r="BL108" s="1">
        <v>14</v>
      </c>
      <c r="BM108" s="1">
        <v>32</v>
      </c>
      <c r="BN108" s="1">
        <v>85</v>
      </c>
      <c r="BO108" s="1">
        <v>37</v>
      </c>
      <c r="BP108" s="1">
        <v>1.9500000000000002</v>
      </c>
      <c r="BQ108" s="1">
        <v>1.9</v>
      </c>
      <c r="BR108" s="1">
        <v>0.34</v>
      </c>
      <c r="BS108" s="1">
        <v>1.4</v>
      </c>
      <c r="BT108" s="1">
        <v>25</v>
      </c>
      <c r="BU108" s="1">
        <v>15</v>
      </c>
      <c r="BV108" s="1">
        <v>92.09</v>
      </c>
      <c r="BW108" s="1">
        <v>15</v>
      </c>
      <c r="BX108" s="1">
        <v>50.84</v>
      </c>
      <c r="BY108" s="1">
        <v>408.03</v>
      </c>
      <c r="BZ108" s="1">
        <v>54.5</v>
      </c>
      <c r="CA108" s="1">
        <v>9.4600000000000009</v>
      </c>
      <c r="CB108" s="1">
        <v>74.13</v>
      </c>
      <c r="CC108" s="1">
        <v>19.309999999999999</v>
      </c>
      <c r="CD108" s="1">
        <v>79.91</v>
      </c>
      <c r="CE108" s="1">
        <v>0.37</v>
      </c>
      <c r="CF108" s="1">
        <v>56.34</v>
      </c>
      <c r="CG108" s="1">
        <v>2.59</v>
      </c>
      <c r="CH108" s="1">
        <v>62.74</v>
      </c>
      <c r="CI108" s="1">
        <v>12</v>
      </c>
      <c r="CJ108" s="1">
        <v>299.58</v>
      </c>
      <c r="CK108" s="1">
        <v>0.02</v>
      </c>
      <c r="CL108" s="1">
        <v>56.88</v>
      </c>
      <c r="CM108" s="1">
        <v>0.14000000000000001</v>
      </c>
      <c r="CN108" s="1">
        <v>84.12</v>
      </c>
      <c r="CO108" s="1">
        <v>0.05</v>
      </c>
      <c r="CP108" s="1">
        <v>50.99</v>
      </c>
      <c r="CQ108" s="1">
        <v>-0.22</v>
      </c>
      <c r="CR108" s="1">
        <v>26.45</v>
      </c>
      <c r="CS108" s="1">
        <v>30</v>
      </c>
      <c r="CT108" s="1">
        <v>25</v>
      </c>
      <c r="CU108" s="1">
        <v>30</v>
      </c>
      <c r="CV108" s="1">
        <v>28</v>
      </c>
      <c r="CW108" s="1">
        <v>30</v>
      </c>
      <c r="CX108" s="1">
        <v>43</v>
      </c>
      <c r="CY108" s="1">
        <v>37</v>
      </c>
      <c r="CZ108" s="1">
        <v>20</v>
      </c>
      <c r="DA108" s="1">
        <v>0</v>
      </c>
    </row>
    <row r="109" spans="1:105" x14ac:dyDescent="0.15">
      <c r="A109" s="1" t="s">
        <v>114</v>
      </c>
      <c r="B109" s="1" t="s">
        <v>491</v>
      </c>
      <c r="C109" s="1">
        <v>1</v>
      </c>
      <c r="D109" s="1">
        <v>13</v>
      </c>
      <c r="E109" s="1">
        <v>23</v>
      </c>
      <c r="F109" s="1">
        <v>84</v>
      </c>
      <c r="G109" s="1">
        <v>105</v>
      </c>
      <c r="H109" s="1">
        <v>-21</v>
      </c>
      <c r="I109" s="1">
        <v>62</v>
      </c>
      <c r="J109" s="1">
        <v>53</v>
      </c>
      <c r="K109" s="1">
        <v>31</v>
      </c>
      <c r="L109" s="1">
        <v>45</v>
      </c>
      <c r="M109" s="1">
        <v>98</v>
      </c>
      <c r="N109" s="1">
        <v>98</v>
      </c>
      <c r="O109" s="1">
        <v>16</v>
      </c>
      <c r="P109" s="1">
        <v>37</v>
      </c>
      <c r="Q109" s="1">
        <v>7</v>
      </c>
      <c r="R109" s="1">
        <v>28</v>
      </c>
      <c r="S109" s="1">
        <v>65</v>
      </c>
      <c r="T109" s="1">
        <v>75</v>
      </c>
      <c r="U109" s="1">
        <v>173</v>
      </c>
      <c r="V109" s="1">
        <v>88</v>
      </c>
      <c r="W109" s="1">
        <v>120</v>
      </c>
      <c r="X109" s="1">
        <v>28</v>
      </c>
      <c r="Y109" s="1">
        <v>2</v>
      </c>
      <c r="Z109" s="1">
        <v>26</v>
      </c>
      <c r="AA109" s="1">
        <v>8</v>
      </c>
      <c r="AB109" s="1">
        <v>120</v>
      </c>
      <c r="AC109" s="1">
        <v>34</v>
      </c>
      <c r="AD109" s="1">
        <v>4</v>
      </c>
      <c r="AE109" s="1">
        <v>12</v>
      </c>
      <c r="AF109" s="1">
        <v>79</v>
      </c>
      <c r="AG109" s="1">
        <v>32</v>
      </c>
      <c r="AH109" s="1">
        <v>46</v>
      </c>
      <c r="AI109" s="1">
        <v>40</v>
      </c>
      <c r="AJ109" s="1">
        <v>38</v>
      </c>
      <c r="AK109" s="1">
        <v>6</v>
      </c>
      <c r="AL109" s="1">
        <v>10</v>
      </c>
      <c r="AM109" s="1">
        <v>9</v>
      </c>
      <c r="AN109" s="1">
        <v>25</v>
      </c>
      <c r="AO109" s="1">
        <v>44</v>
      </c>
      <c r="AP109" s="1">
        <v>9</v>
      </c>
      <c r="AQ109" s="1">
        <v>44</v>
      </c>
      <c r="AR109" s="1">
        <v>9</v>
      </c>
      <c r="AS109" s="1">
        <v>39</v>
      </c>
      <c r="AT109" s="1">
        <v>10</v>
      </c>
      <c r="AU109" s="1">
        <v>30</v>
      </c>
      <c r="AV109" s="1">
        <v>8</v>
      </c>
      <c r="AW109" s="1">
        <v>26</v>
      </c>
      <c r="AX109" s="1">
        <v>10</v>
      </c>
      <c r="AY109" s="1">
        <v>38</v>
      </c>
      <c r="AZ109" s="1">
        <v>1</v>
      </c>
      <c r="BA109" s="1">
        <v>3</v>
      </c>
      <c r="BB109" s="1">
        <v>3</v>
      </c>
      <c r="BC109" s="1">
        <v>7</v>
      </c>
      <c r="BD109" s="1">
        <v>24</v>
      </c>
      <c r="BE109" s="1">
        <v>3</v>
      </c>
      <c r="BF109" s="1">
        <v>20</v>
      </c>
      <c r="BG109" s="1">
        <v>14</v>
      </c>
      <c r="BH109" s="1">
        <v>16</v>
      </c>
      <c r="BI109" s="1">
        <v>13</v>
      </c>
      <c r="BJ109" s="1">
        <v>43</v>
      </c>
      <c r="BK109" s="1">
        <v>46</v>
      </c>
      <c r="BL109" s="1">
        <v>42</v>
      </c>
      <c r="BM109" s="1">
        <v>85</v>
      </c>
      <c r="BN109" s="1">
        <v>80</v>
      </c>
      <c r="BO109" s="1">
        <v>29</v>
      </c>
      <c r="BP109" s="1">
        <v>1.27</v>
      </c>
      <c r="BQ109" s="1">
        <v>-0.41</v>
      </c>
      <c r="BR109" s="1">
        <v>-1.22</v>
      </c>
      <c r="BS109" s="1">
        <v>-0.05</v>
      </c>
      <c r="BT109" s="1">
        <v>4</v>
      </c>
      <c r="BU109" s="1">
        <v>0</v>
      </c>
      <c r="BV109" s="1">
        <v>42.1</v>
      </c>
      <c r="BW109" s="1">
        <v>2</v>
      </c>
      <c r="BX109" s="1">
        <v>35.71</v>
      </c>
      <c r="BY109" s="1">
        <v>408.56</v>
      </c>
      <c r="BZ109" s="1">
        <v>54.6</v>
      </c>
      <c r="CA109" s="1">
        <v>6.17</v>
      </c>
      <c r="CB109" s="1">
        <v>57.49</v>
      </c>
      <c r="CC109" s="1">
        <v>12.88</v>
      </c>
      <c r="CD109" s="1">
        <v>69.63</v>
      </c>
      <c r="CE109" s="1">
        <v>1.8</v>
      </c>
      <c r="CF109" s="1">
        <v>28.43</v>
      </c>
      <c r="CG109" s="1">
        <v>1.37</v>
      </c>
      <c r="CH109" s="1">
        <v>54.05</v>
      </c>
      <c r="CI109" s="1">
        <v>0</v>
      </c>
      <c r="CJ109" s="1">
        <v>45.77</v>
      </c>
      <c r="CK109" s="1">
        <v>-0.01</v>
      </c>
      <c r="CL109" s="1">
        <v>44.54</v>
      </c>
      <c r="CM109" s="1">
        <v>-0.03</v>
      </c>
      <c r="CN109" s="1">
        <v>51.38</v>
      </c>
      <c r="CO109" s="1">
        <v>7.0000000000000007E-2</v>
      </c>
      <c r="CP109" s="1">
        <v>59.81</v>
      </c>
      <c r="CQ109" s="1">
        <v>0.22</v>
      </c>
      <c r="CR109" s="1">
        <v>75.23</v>
      </c>
      <c r="CS109" s="1">
        <v>58</v>
      </c>
      <c r="CT109" s="1">
        <v>4</v>
      </c>
      <c r="CU109" s="1">
        <v>23</v>
      </c>
      <c r="CV109" s="1">
        <v>44</v>
      </c>
      <c r="CW109" s="1">
        <v>24</v>
      </c>
      <c r="CX109" s="1">
        <v>38</v>
      </c>
      <c r="CY109" s="1">
        <v>29</v>
      </c>
      <c r="CZ109" s="1">
        <v>20</v>
      </c>
      <c r="DA109" s="1">
        <v>1</v>
      </c>
    </row>
    <row r="110" spans="1:105" x14ac:dyDescent="0.15">
      <c r="A110" s="1" t="s">
        <v>118</v>
      </c>
      <c r="B110" s="1" t="s">
        <v>492</v>
      </c>
      <c r="C110" s="1">
        <v>1</v>
      </c>
      <c r="D110" s="1">
        <v>16</v>
      </c>
      <c r="E110" s="1">
        <v>28</v>
      </c>
      <c r="F110" s="1">
        <v>92</v>
      </c>
      <c r="G110" s="1">
        <v>111</v>
      </c>
      <c r="H110" s="1">
        <v>-19</v>
      </c>
      <c r="I110" s="1">
        <v>53</v>
      </c>
      <c r="J110" s="1">
        <v>44</v>
      </c>
      <c r="K110" s="1">
        <v>32</v>
      </c>
      <c r="L110" s="1">
        <v>46</v>
      </c>
      <c r="M110" s="1">
        <v>90</v>
      </c>
      <c r="N110" s="1">
        <v>92</v>
      </c>
      <c r="O110" s="1">
        <v>7</v>
      </c>
      <c r="P110" s="1">
        <v>30</v>
      </c>
      <c r="Q110" s="1">
        <v>16</v>
      </c>
      <c r="R110" s="1">
        <v>42</v>
      </c>
      <c r="S110" s="1">
        <v>72</v>
      </c>
      <c r="T110" s="1">
        <v>79</v>
      </c>
      <c r="U110" s="1">
        <v>171</v>
      </c>
      <c r="V110" s="1">
        <v>87</v>
      </c>
      <c r="W110" s="1">
        <v>120</v>
      </c>
      <c r="X110" s="1">
        <v>23</v>
      </c>
      <c r="Y110" s="1">
        <v>1</v>
      </c>
      <c r="Z110" s="1">
        <v>22</v>
      </c>
      <c r="AA110" s="1">
        <v>7</v>
      </c>
      <c r="AB110" s="1">
        <v>120</v>
      </c>
      <c r="AC110" s="1">
        <v>40</v>
      </c>
      <c r="AD110" s="1">
        <v>5</v>
      </c>
      <c r="AE110" s="1">
        <v>12</v>
      </c>
      <c r="AF110" s="1">
        <v>79</v>
      </c>
      <c r="AG110" s="1">
        <v>78</v>
      </c>
      <c r="AH110" s="1">
        <v>18</v>
      </c>
      <c r="AI110" s="1">
        <v>25</v>
      </c>
      <c r="AJ110" s="1">
        <v>19</v>
      </c>
      <c r="AK110" s="1">
        <v>3</v>
      </c>
      <c r="AL110" s="1">
        <v>6</v>
      </c>
      <c r="AM110" s="1">
        <v>6</v>
      </c>
      <c r="AN110" s="1">
        <v>15</v>
      </c>
      <c r="AO110" s="1">
        <v>28</v>
      </c>
      <c r="AP110" s="1">
        <v>4</v>
      </c>
      <c r="AQ110" s="1">
        <v>20</v>
      </c>
      <c r="AR110" s="1">
        <v>7</v>
      </c>
      <c r="AS110" s="1">
        <v>26</v>
      </c>
      <c r="AT110" s="1">
        <v>7</v>
      </c>
      <c r="AU110" s="1">
        <v>24</v>
      </c>
      <c r="AV110" s="1">
        <v>7</v>
      </c>
      <c r="AW110" s="1">
        <v>26</v>
      </c>
      <c r="AX110" s="1">
        <v>4</v>
      </c>
      <c r="AY110" s="1">
        <v>35</v>
      </c>
      <c r="AZ110" s="1">
        <v>3</v>
      </c>
      <c r="BA110" s="1">
        <v>3</v>
      </c>
      <c r="BB110" s="1">
        <v>5</v>
      </c>
      <c r="BC110" s="1">
        <v>11</v>
      </c>
      <c r="BD110" s="1">
        <v>30</v>
      </c>
      <c r="BE110" s="1">
        <v>4</v>
      </c>
      <c r="BF110" s="1">
        <v>25</v>
      </c>
      <c r="BG110" s="1">
        <v>12</v>
      </c>
      <c r="BH110" s="1">
        <v>5</v>
      </c>
      <c r="BI110" s="1">
        <v>11</v>
      </c>
      <c r="BJ110" s="1">
        <v>28</v>
      </c>
      <c r="BK110" s="1">
        <v>30</v>
      </c>
      <c r="BL110" s="1">
        <v>9</v>
      </c>
      <c r="BM110" s="1">
        <v>24</v>
      </c>
      <c r="BN110" s="1">
        <v>86</v>
      </c>
      <c r="BO110" s="1">
        <v>35</v>
      </c>
      <c r="BP110" s="1">
        <v>2.12</v>
      </c>
      <c r="BQ110" s="1">
        <v>1.25</v>
      </c>
      <c r="BR110" s="1">
        <v>0.5</v>
      </c>
      <c r="BS110" s="1">
        <v>1.29</v>
      </c>
      <c r="BT110" s="1">
        <v>27</v>
      </c>
      <c r="BU110" s="1">
        <v>9999</v>
      </c>
      <c r="BV110" s="1">
        <v>9999</v>
      </c>
      <c r="BW110" s="1">
        <v>9999</v>
      </c>
      <c r="BX110" s="1">
        <v>9999</v>
      </c>
      <c r="BY110" s="1">
        <v>9999</v>
      </c>
      <c r="BZ110" s="1">
        <v>9999</v>
      </c>
      <c r="CA110" s="1">
        <v>9999</v>
      </c>
      <c r="CB110" s="1">
        <v>9999</v>
      </c>
      <c r="CC110" s="1">
        <v>9999</v>
      </c>
      <c r="CD110" s="1">
        <v>9999</v>
      </c>
      <c r="CE110" s="1">
        <v>9999</v>
      </c>
      <c r="CF110" s="1">
        <v>9999</v>
      </c>
      <c r="CG110" s="1">
        <v>9999</v>
      </c>
      <c r="CH110" s="1">
        <v>9999</v>
      </c>
      <c r="CI110" s="1">
        <v>9999</v>
      </c>
      <c r="CJ110" s="1">
        <v>9999</v>
      </c>
      <c r="CK110" s="1">
        <v>9999</v>
      </c>
      <c r="CL110" s="1">
        <v>9999</v>
      </c>
      <c r="CM110" s="1">
        <v>9999</v>
      </c>
      <c r="CN110" s="1">
        <v>9999</v>
      </c>
      <c r="CO110" s="1">
        <v>9999</v>
      </c>
      <c r="CP110" s="1">
        <v>9999</v>
      </c>
      <c r="CQ110" s="1">
        <v>9999</v>
      </c>
      <c r="CR110" s="1">
        <v>9999</v>
      </c>
      <c r="CS110" s="1">
        <v>11</v>
      </c>
      <c r="CT110" s="1">
        <v>27</v>
      </c>
      <c r="CU110" s="1">
        <v>20</v>
      </c>
      <c r="CV110" s="1">
        <v>28</v>
      </c>
      <c r="CW110" s="1">
        <v>30</v>
      </c>
      <c r="CX110" s="1">
        <v>35</v>
      </c>
      <c r="CY110" s="1">
        <v>35</v>
      </c>
      <c r="CZ110" s="1">
        <v>12</v>
      </c>
      <c r="DA110" s="1">
        <v>1</v>
      </c>
    </row>
    <row r="111" spans="1:105" x14ac:dyDescent="0.15">
      <c r="A111" s="1" t="s">
        <v>120</v>
      </c>
      <c r="B111" s="1" t="s">
        <v>493</v>
      </c>
      <c r="C111" s="1">
        <v>3</v>
      </c>
      <c r="D111" s="1">
        <v>13</v>
      </c>
      <c r="E111" s="1">
        <v>25</v>
      </c>
      <c r="F111" s="1">
        <v>87</v>
      </c>
      <c r="G111" s="1">
        <v>102</v>
      </c>
      <c r="H111" s="1">
        <v>-15</v>
      </c>
      <c r="I111" s="1">
        <v>41</v>
      </c>
      <c r="J111" s="1">
        <v>34</v>
      </c>
      <c r="K111" s="1">
        <v>31</v>
      </c>
      <c r="L111" s="1">
        <v>42</v>
      </c>
      <c r="M111" s="1">
        <v>76</v>
      </c>
      <c r="N111" s="1">
        <v>82</v>
      </c>
      <c r="O111" s="1">
        <v>44</v>
      </c>
      <c r="P111" s="1">
        <v>50</v>
      </c>
      <c r="Q111" s="1">
        <v>27</v>
      </c>
      <c r="R111" s="1">
        <v>53</v>
      </c>
      <c r="S111" s="1">
        <v>103</v>
      </c>
      <c r="T111" s="1">
        <v>102</v>
      </c>
      <c r="U111" s="1">
        <v>179</v>
      </c>
      <c r="V111" s="1">
        <v>90</v>
      </c>
      <c r="W111" s="1">
        <v>120</v>
      </c>
      <c r="X111" s="1">
        <v>31</v>
      </c>
      <c r="Y111" s="1">
        <v>1</v>
      </c>
      <c r="Z111" s="1">
        <v>30</v>
      </c>
      <c r="AA111" s="1">
        <v>9</v>
      </c>
      <c r="AB111" s="1">
        <v>120</v>
      </c>
      <c r="AC111" s="1">
        <v>65</v>
      </c>
      <c r="AD111" s="1">
        <v>9</v>
      </c>
      <c r="AE111" s="1">
        <v>18</v>
      </c>
      <c r="AF111" s="1">
        <v>94</v>
      </c>
      <c r="AG111" s="1">
        <v>24</v>
      </c>
      <c r="AH111" s="1">
        <v>47</v>
      </c>
      <c r="AI111" s="1">
        <v>52</v>
      </c>
      <c r="AJ111" s="1">
        <v>39</v>
      </c>
      <c r="AK111" s="1">
        <v>10</v>
      </c>
      <c r="AL111" s="1">
        <v>11</v>
      </c>
      <c r="AM111" s="1">
        <v>11</v>
      </c>
      <c r="AN111" s="1">
        <v>32</v>
      </c>
      <c r="AO111" s="1">
        <v>59</v>
      </c>
      <c r="AP111" s="1">
        <v>10</v>
      </c>
      <c r="AQ111" s="1">
        <v>47</v>
      </c>
      <c r="AR111" s="1">
        <v>11</v>
      </c>
      <c r="AS111" s="1">
        <v>51</v>
      </c>
      <c r="AT111" s="1">
        <v>17</v>
      </c>
      <c r="AU111" s="1">
        <v>46</v>
      </c>
      <c r="AV111" s="1">
        <v>18</v>
      </c>
      <c r="AW111" s="1">
        <v>53</v>
      </c>
      <c r="AX111" s="1">
        <v>24</v>
      </c>
      <c r="AY111" s="1">
        <v>51</v>
      </c>
      <c r="AZ111" s="1">
        <v>3</v>
      </c>
      <c r="BA111" s="1">
        <v>5</v>
      </c>
      <c r="BB111" s="1">
        <v>6</v>
      </c>
      <c r="BC111" s="1">
        <v>14</v>
      </c>
      <c r="BD111" s="1">
        <v>23</v>
      </c>
      <c r="BE111" s="1">
        <v>6</v>
      </c>
      <c r="BF111" s="1">
        <v>20</v>
      </c>
      <c r="BG111" s="1">
        <v>10</v>
      </c>
      <c r="BH111" s="1">
        <v>8</v>
      </c>
      <c r="BI111" s="1">
        <v>7</v>
      </c>
      <c r="BJ111" s="1">
        <v>25</v>
      </c>
      <c r="BK111" s="1">
        <v>30</v>
      </c>
      <c r="BL111" s="1">
        <v>23</v>
      </c>
      <c r="BM111" s="1">
        <v>48</v>
      </c>
      <c r="BN111" s="1">
        <v>82</v>
      </c>
      <c r="BO111" s="1">
        <v>35</v>
      </c>
      <c r="BP111" s="1">
        <v>3.23</v>
      </c>
      <c r="BQ111" s="1">
        <v>2.23</v>
      </c>
      <c r="BR111" s="1">
        <v>0.84</v>
      </c>
      <c r="BS111" s="1">
        <v>2.1</v>
      </c>
      <c r="BT111" s="1">
        <v>34</v>
      </c>
      <c r="BU111" s="1">
        <v>1</v>
      </c>
      <c r="BV111" s="1">
        <v>43.87</v>
      </c>
      <c r="BW111" s="1">
        <v>16</v>
      </c>
      <c r="BX111" s="1">
        <v>52.17</v>
      </c>
      <c r="BY111" s="1">
        <v>314.12</v>
      </c>
      <c r="BZ111" s="1">
        <v>38.64</v>
      </c>
      <c r="CA111" s="1">
        <v>4.08</v>
      </c>
      <c r="CB111" s="1">
        <v>42.24</v>
      </c>
      <c r="CC111" s="1">
        <v>6.48</v>
      </c>
      <c r="CD111" s="1">
        <v>48.54</v>
      </c>
      <c r="CE111" s="1">
        <v>0.73</v>
      </c>
      <c r="CF111" s="1">
        <v>48.37</v>
      </c>
      <c r="CG111" s="1">
        <v>0.17</v>
      </c>
      <c r="CH111" s="1">
        <v>43.71</v>
      </c>
      <c r="CI111" s="1">
        <v>0</v>
      </c>
      <c r="CJ111" s="1">
        <v>44.54</v>
      </c>
      <c r="CK111" s="1">
        <v>-0.02</v>
      </c>
      <c r="CL111" s="1">
        <v>41.24</v>
      </c>
      <c r="CM111" s="1">
        <v>0.01</v>
      </c>
      <c r="CN111" s="1">
        <v>50.65</v>
      </c>
      <c r="CO111" s="1">
        <v>0.06</v>
      </c>
      <c r="CP111" s="1">
        <v>50.7</v>
      </c>
      <c r="CQ111" s="1">
        <v>0.11</v>
      </c>
      <c r="CR111" s="1">
        <v>58.79</v>
      </c>
      <c r="CS111" s="1">
        <v>43</v>
      </c>
      <c r="CT111" s="1">
        <v>34</v>
      </c>
      <c r="CU111" s="1">
        <v>49</v>
      </c>
      <c r="CV111" s="1">
        <v>59</v>
      </c>
      <c r="CW111" s="1">
        <v>23</v>
      </c>
      <c r="CX111" s="1">
        <v>51</v>
      </c>
      <c r="CY111" s="1">
        <v>35</v>
      </c>
      <c r="CZ111" s="1">
        <v>37</v>
      </c>
      <c r="DA111" s="1">
        <v>1</v>
      </c>
    </row>
    <row r="112" spans="1:105" x14ac:dyDescent="0.15">
      <c r="A112" s="1" t="s">
        <v>171</v>
      </c>
      <c r="B112" s="1" t="s">
        <v>494</v>
      </c>
      <c r="C112" s="1">
        <v>1</v>
      </c>
      <c r="D112" s="1">
        <v>11</v>
      </c>
      <c r="E112" s="1">
        <v>17</v>
      </c>
      <c r="F112" s="1">
        <v>75</v>
      </c>
      <c r="G112" s="1">
        <v>94</v>
      </c>
      <c r="H112" s="1">
        <v>-19</v>
      </c>
      <c r="I112" s="1">
        <v>34</v>
      </c>
      <c r="J112" s="1">
        <v>26</v>
      </c>
      <c r="K112" s="1">
        <v>33</v>
      </c>
      <c r="L112" s="1">
        <v>46</v>
      </c>
      <c r="M112" s="1">
        <v>72</v>
      </c>
      <c r="N112" s="1">
        <v>79</v>
      </c>
      <c r="O112" s="1">
        <v>28</v>
      </c>
      <c r="P112" s="1">
        <v>41</v>
      </c>
      <c r="Q112" s="1">
        <v>13</v>
      </c>
      <c r="R112" s="1">
        <v>26</v>
      </c>
      <c r="S112" s="1">
        <v>67</v>
      </c>
      <c r="T112" s="1">
        <v>75</v>
      </c>
      <c r="U112" s="1">
        <v>139</v>
      </c>
      <c r="V112" s="1">
        <v>75</v>
      </c>
      <c r="W112" s="1">
        <v>120</v>
      </c>
      <c r="X112" s="1">
        <v>28</v>
      </c>
      <c r="Y112" s="1">
        <v>2</v>
      </c>
      <c r="Z112" s="1">
        <v>26</v>
      </c>
      <c r="AA112" s="1">
        <v>7</v>
      </c>
      <c r="AB112" s="1">
        <v>120</v>
      </c>
      <c r="AC112" s="1">
        <v>44</v>
      </c>
      <c r="AD112" s="1">
        <v>5</v>
      </c>
      <c r="AE112" s="1">
        <v>12</v>
      </c>
      <c r="AF112" s="1">
        <v>79</v>
      </c>
      <c r="AG112" s="1">
        <v>42</v>
      </c>
      <c r="AH112" s="1">
        <v>29</v>
      </c>
      <c r="AI112" s="1">
        <v>40</v>
      </c>
      <c r="AJ112" s="1">
        <v>27</v>
      </c>
      <c r="AK112" s="1">
        <v>6</v>
      </c>
      <c r="AL112" s="1">
        <v>8</v>
      </c>
      <c r="AM112" s="1">
        <v>11</v>
      </c>
      <c r="AN112" s="1">
        <v>25</v>
      </c>
      <c r="AO112" s="1">
        <v>42</v>
      </c>
      <c r="AP112" s="1">
        <v>8</v>
      </c>
      <c r="AQ112" s="1">
        <v>34</v>
      </c>
      <c r="AR112" s="1">
        <v>11</v>
      </c>
      <c r="AS112" s="1">
        <v>51</v>
      </c>
      <c r="AT112" s="1">
        <v>11</v>
      </c>
      <c r="AU112" s="1">
        <v>26</v>
      </c>
      <c r="AV112" s="1">
        <v>10</v>
      </c>
      <c r="AW112" s="1">
        <v>29</v>
      </c>
      <c r="AX112" s="1">
        <v>14</v>
      </c>
      <c r="AY112" s="1">
        <v>31</v>
      </c>
      <c r="AZ112" s="1">
        <v>4</v>
      </c>
      <c r="BA112" s="1">
        <v>6</v>
      </c>
      <c r="BB112" s="1">
        <v>6</v>
      </c>
      <c r="BC112" s="1">
        <v>16</v>
      </c>
      <c r="BD112" s="1">
        <v>27</v>
      </c>
      <c r="BE112" s="1">
        <v>6</v>
      </c>
      <c r="BF112" s="1">
        <v>20</v>
      </c>
      <c r="BG112" s="1">
        <v>8</v>
      </c>
      <c r="BH112" s="1">
        <v>11</v>
      </c>
      <c r="BI112" s="1">
        <v>7</v>
      </c>
      <c r="BJ112" s="1">
        <v>26</v>
      </c>
      <c r="BK112" s="1">
        <v>37</v>
      </c>
      <c r="BL112" s="1">
        <v>25</v>
      </c>
      <c r="BM112" s="1">
        <v>52</v>
      </c>
      <c r="BN112" s="1">
        <v>83</v>
      </c>
      <c r="BO112" s="1">
        <v>36</v>
      </c>
      <c r="BP112" s="1">
        <v>2.78</v>
      </c>
      <c r="BQ112" s="1">
        <v>1.22</v>
      </c>
      <c r="BR112" s="1">
        <v>0.17</v>
      </c>
      <c r="BS112" s="1">
        <v>1.39</v>
      </c>
      <c r="BT112" s="1">
        <v>23</v>
      </c>
      <c r="BU112" s="1">
        <v>4</v>
      </c>
      <c r="BV112" s="1">
        <v>52.91</v>
      </c>
      <c r="BW112" s="1">
        <v>32</v>
      </c>
      <c r="BX112" s="1">
        <v>72.73</v>
      </c>
      <c r="BY112" s="1">
        <v>211.55</v>
      </c>
      <c r="BZ112" s="1">
        <v>14.63</v>
      </c>
      <c r="CA112" s="1">
        <v>3.59</v>
      </c>
      <c r="CB112" s="1">
        <v>38.44</v>
      </c>
      <c r="CC112" s="1">
        <v>4.1900000000000004</v>
      </c>
      <c r="CD112" s="1">
        <v>40.56</v>
      </c>
      <c r="CE112" s="1">
        <v>0.41</v>
      </c>
      <c r="CF112" s="1">
        <v>55.4</v>
      </c>
      <c r="CG112" s="1">
        <v>0.37</v>
      </c>
      <c r="CH112" s="1">
        <v>45.87</v>
      </c>
      <c r="CI112" s="1">
        <v>17</v>
      </c>
      <c r="CJ112" s="1">
        <v>152.9</v>
      </c>
      <c r="CK112" s="1">
        <v>-0.02</v>
      </c>
      <c r="CL112" s="1">
        <v>41.02</v>
      </c>
      <c r="CM112" s="1">
        <v>0.01</v>
      </c>
      <c r="CN112" s="1">
        <v>51.25</v>
      </c>
      <c r="CO112" s="1">
        <v>0.1</v>
      </c>
      <c r="CP112" s="1">
        <v>63.22</v>
      </c>
      <c r="CQ112" s="1">
        <v>-0.06</v>
      </c>
      <c r="CR112" s="1">
        <v>43.14</v>
      </c>
      <c r="CS112" s="1">
        <v>31</v>
      </c>
      <c r="CT112" s="1">
        <v>23</v>
      </c>
      <c r="CU112" s="1">
        <v>23</v>
      </c>
      <c r="CV112" s="1">
        <v>42</v>
      </c>
      <c r="CW112" s="1">
        <v>27</v>
      </c>
      <c r="CX112" s="1">
        <v>31</v>
      </c>
      <c r="CY112" s="1">
        <v>36</v>
      </c>
      <c r="CZ112" s="1">
        <v>19</v>
      </c>
      <c r="DA112" s="1">
        <v>1</v>
      </c>
    </row>
    <row r="113" spans="1:105" x14ac:dyDescent="0.15">
      <c r="A113" s="1" t="s">
        <v>125</v>
      </c>
      <c r="B113" s="1" t="s">
        <v>495</v>
      </c>
      <c r="C113" s="1">
        <v>1</v>
      </c>
      <c r="D113" s="1">
        <v>16</v>
      </c>
      <c r="E113" s="1">
        <v>42</v>
      </c>
      <c r="F113" s="1">
        <v>113</v>
      </c>
      <c r="G113" s="1">
        <v>111</v>
      </c>
      <c r="H113" s="1">
        <v>2</v>
      </c>
      <c r="I113" s="1">
        <v>80</v>
      </c>
      <c r="J113" s="1">
        <v>73</v>
      </c>
      <c r="K113" s="1">
        <v>39</v>
      </c>
      <c r="L113" s="1">
        <v>55</v>
      </c>
      <c r="M113" s="1">
        <v>128</v>
      </c>
      <c r="N113" s="1">
        <v>123</v>
      </c>
      <c r="O113" s="1">
        <v>59</v>
      </c>
      <c r="P113" s="1">
        <v>63</v>
      </c>
      <c r="Q113" s="1">
        <v>30</v>
      </c>
      <c r="R113" s="1">
        <v>62</v>
      </c>
      <c r="S113" s="1">
        <v>125</v>
      </c>
      <c r="T113" s="1">
        <v>121</v>
      </c>
      <c r="U113" s="1">
        <v>253</v>
      </c>
      <c r="V113" s="1">
        <v>126</v>
      </c>
      <c r="W113" s="1">
        <v>120</v>
      </c>
      <c r="X113" s="1">
        <v>31</v>
      </c>
      <c r="Y113" s="1">
        <v>0</v>
      </c>
      <c r="Z113" s="1">
        <v>31</v>
      </c>
      <c r="AA113" s="1">
        <v>9</v>
      </c>
      <c r="AB113" s="1">
        <v>120</v>
      </c>
      <c r="AC113" s="1">
        <v>54</v>
      </c>
      <c r="AD113" s="1">
        <v>7</v>
      </c>
      <c r="AE113" s="1">
        <v>16</v>
      </c>
      <c r="AF113" s="1">
        <v>89</v>
      </c>
      <c r="AG113" s="1">
        <v>45</v>
      </c>
      <c r="AH113" s="1">
        <v>33</v>
      </c>
      <c r="AI113" s="1">
        <v>42</v>
      </c>
      <c r="AJ113" s="1">
        <v>38</v>
      </c>
      <c r="AK113" s="1">
        <v>7</v>
      </c>
      <c r="AL113" s="1">
        <v>12</v>
      </c>
      <c r="AM113" s="1">
        <v>12</v>
      </c>
      <c r="AN113" s="1">
        <v>31</v>
      </c>
      <c r="AO113" s="1">
        <v>58</v>
      </c>
      <c r="AP113" s="1">
        <v>11</v>
      </c>
      <c r="AQ113" s="1">
        <v>54</v>
      </c>
      <c r="AR113" s="1">
        <v>11</v>
      </c>
      <c r="AS113" s="1">
        <v>49</v>
      </c>
      <c r="AT113" s="1">
        <v>17</v>
      </c>
      <c r="AU113" s="1">
        <v>51</v>
      </c>
      <c r="AV113" s="1">
        <v>20</v>
      </c>
      <c r="AW113" s="1">
        <v>61</v>
      </c>
      <c r="AX113" s="1">
        <v>19</v>
      </c>
      <c r="AY113" s="1">
        <v>48</v>
      </c>
      <c r="AZ113" s="1">
        <v>5</v>
      </c>
      <c r="BA113" s="1">
        <v>8</v>
      </c>
      <c r="BB113" s="1">
        <v>8</v>
      </c>
      <c r="BC113" s="1">
        <v>21</v>
      </c>
      <c r="BD113" s="1">
        <v>45</v>
      </c>
      <c r="BE113" s="1">
        <v>7</v>
      </c>
      <c r="BF113" s="1">
        <v>38</v>
      </c>
      <c r="BG113" s="1">
        <v>10</v>
      </c>
      <c r="BH113" s="1">
        <v>7</v>
      </c>
      <c r="BI113" s="1">
        <v>8</v>
      </c>
      <c r="BJ113" s="1">
        <v>25</v>
      </c>
      <c r="BK113" s="1">
        <v>29</v>
      </c>
      <c r="BL113" s="1">
        <v>16</v>
      </c>
      <c r="BM113" s="1">
        <v>37</v>
      </c>
      <c r="BN113" s="1">
        <v>89</v>
      </c>
      <c r="BO113" s="1">
        <v>41</v>
      </c>
      <c r="BP113" s="1">
        <v>3.68</v>
      </c>
      <c r="BQ113" s="1">
        <v>3.34</v>
      </c>
      <c r="BR113" s="1">
        <v>1.49</v>
      </c>
      <c r="BS113" s="1">
        <v>2.84</v>
      </c>
      <c r="BT113" s="1">
        <v>47</v>
      </c>
      <c r="BU113" s="1">
        <v>0</v>
      </c>
      <c r="BV113" s="1">
        <v>42.1</v>
      </c>
      <c r="BW113" s="1">
        <v>0</v>
      </c>
      <c r="BX113" s="1">
        <v>33.380000000000003</v>
      </c>
      <c r="BY113" s="1">
        <v>464.23</v>
      </c>
      <c r="BZ113" s="1">
        <v>64.7</v>
      </c>
      <c r="CA113" s="1">
        <v>3.07</v>
      </c>
      <c r="CB113" s="1">
        <v>30.26</v>
      </c>
      <c r="CC113" s="1">
        <v>3.48</v>
      </c>
      <c r="CD113" s="1">
        <v>36.409999999999997</v>
      </c>
      <c r="CE113" s="1">
        <v>2.16</v>
      </c>
      <c r="CF113" s="1">
        <v>21.52</v>
      </c>
      <c r="CG113" s="1">
        <v>2.94</v>
      </c>
      <c r="CH113" s="1">
        <v>65.209999999999994</v>
      </c>
      <c r="CI113" s="1">
        <v>0</v>
      </c>
      <c r="CJ113" s="1">
        <v>45.77</v>
      </c>
      <c r="CK113" s="1">
        <v>-0.02</v>
      </c>
      <c r="CL113" s="1">
        <v>38.840000000000003</v>
      </c>
      <c r="CM113" s="1">
        <v>-0.04</v>
      </c>
      <c r="CN113" s="1">
        <v>50.55</v>
      </c>
      <c r="CO113" s="1">
        <v>0.01</v>
      </c>
      <c r="CP113" s="1">
        <v>35.369999999999997</v>
      </c>
      <c r="CQ113" s="1">
        <v>0.02</v>
      </c>
      <c r="CR113" s="1">
        <v>53.36</v>
      </c>
      <c r="CS113" s="1">
        <v>31</v>
      </c>
      <c r="CT113" s="1">
        <v>47</v>
      </c>
      <c r="CU113" s="1">
        <v>57</v>
      </c>
      <c r="CV113" s="1">
        <v>58</v>
      </c>
      <c r="CW113" s="1">
        <v>45</v>
      </c>
      <c r="CX113" s="1">
        <v>48</v>
      </c>
      <c r="CY113" s="1">
        <v>41</v>
      </c>
      <c r="CZ113" s="1">
        <v>44</v>
      </c>
      <c r="DA113" s="1">
        <v>1</v>
      </c>
    </row>
    <row r="114" spans="1:105" x14ac:dyDescent="0.15">
      <c r="A114" s="1" t="s">
        <v>122</v>
      </c>
      <c r="B114" s="1" t="s">
        <v>496</v>
      </c>
      <c r="C114" s="1">
        <v>3</v>
      </c>
      <c r="D114" s="1">
        <v>12</v>
      </c>
      <c r="E114" s="1">
        <v>23</v>
      </c>
      <c r="F114" s="1">
        <v>83</v>
      </c>
      <c r="G114" s="1">
        <v>98</v>
      </c>
      <c r="H114" s="1">
        <v>-15</v>
      </c>
      <c r="I114" s="1">
        <v>49</v>
      </c>
      <c r="J114" s="1">
        <v>42</v>
      </c>
      <c r="K114" s="1">
        <v>30</v>
      </c>
      <c r="L114" s="1">
        <v>40</v>
      </c>
      <c r="M114" s="1">
        <v>82</v>
      </c>
      <c r="N114" s="1">
        <v>87</v>
      </c>
      <c r="O114" s="1">
        <v>37</v>
      </c>
      <c r="P114" s="1">
        <v>46</v>
      </c>
      <c r="Q114" s="1">
        <v>27</v>
      </c>
      <c r="R114" s="1">
        <v>53</v>
      </c>
      <c r="S114" s="1">
        <v>99</v>
      </c>
      <c r="T114" s="1">
        <v>99</v>
      </c>
      <c r="U114" s="1">
        <v>181</v>
      </c>
      <c r="V114" s="1">
        <v>91</v>
      </c>
      <c r="W114" s="1">
        <v>120</v>
      </c>
      <c r="X114" s="1">
        <v>14</v>
      </c>
      <c r="Y114" s="1">
        <v>0</v>
      </c>
      <c r="Z114" s="1">
        <v>14</v>
      </c>
      <c r="AA114" s="1">
        <v>3</v>
      </c>
      <c r="AB114" s="1">
        <v>120</v>
      </c>
      <c r="AC114" s="1">
        <v>49</v>
      </c>
      <c r="AD114" s="1">
        <v>6</v>
      </c>
      <c r="AE114" s="1">
        <v>9</v>
      </c>
      <c r="AF114" s="1">
        <v>71</v>
      </c>
      <c r="AG114" s="1">
        <v>118</v>
      </c>
      <c r="AH114" s="1">
        <v>-5</v>
      </c>
      <c r="AI114" s="1">
        <v>44</v>
      </c>
      <c r="AJ114" s="1">
        <v>30</v>
      </c>
      <c r="AK114" s="1">
        <v>6</v>
      </c>
      <c r="AL114" s="1">
        <v>10</v>
      </c>
      <c r="AM114" s="1">
        <v>8</v>
      </c>
      <c r="AN114" s="1">
        <v>24</v>
      </c>
      <c r="AO114" s="1">
        <v>40</v>
      </c>
      <c r="AP114" s="1">
        <v>8</v>
      </c>
      <c r="AQ114" s="1">
        <v>34</v>
      </c>
      <c r="AR114" s="1">
        <v>11</v>
      </c>
      <c r="AS114" s="1">
        <v>51</v>
      </c>
      <c r="AT114" s="1">
        <v>20</v>
      </c>
      <c r="AU114" s="1">
        <v>55</v>
      </c>
      <c r="AV114" s="1">
        <v>15</v>
      </c>
      <c r="AW114" s="1">
        <v>44</v>
      </c>
      <c r="AX114" s="1">
        <v>14</v>
      </c>
      <c r="AY114" s="1">
        <v>30</v>
      </c>
      <c r="AZ114" s="1">
        <v>4</v>
      </c>
      <c r="BA114" s="1">
        <v>6</v>
      </c>
      <c r="BB114" s="1">
        <v>10</v>
      </c>
      <c r="BC114" s="1">
        <v>20</v>
      </c>
      <c r="BD114" s="1">
        <v>33</v>
      </c>
      <c r="BE114" s="1">
        <v>10</v>
      </c>
      <c r="BF114" s="1">
        <v>45</v>
      </c>
      <c r="BG114" s="1">
        <v>8</v>
      </c>
      <c r="BH114" s="1">
        <v>8</v>
      </c>
      <c r="BI114" s="1">
        <v>10</v>
      </c>
      <c r="BJ114" s="1">
        <v>26</v>
      </c>
      <c r="BK114" s="1">
        <v>33</v>
      </c>
      <c r="BL114" s="1">
        <v>20</v>
      </c>
      <c r="BM114" s="1">
        <v>42</v>
      </c>
      <c r="BN114" s="1">
        <v>83</v>
      </c>
      <c r="BO114" s="1">
        <v>37</v>
      </c>
      <c r="BP114" s="1">
        <v>3.96</v>
      </c>
      <c r="BQ114" s="1">
        <v>2.09</v>
      </c>
      <c r="BR114" s="1">
        <v>1.67</v>
      </c>
      <c r="BS114" s="1">
        <v>2.57</v>
      </c>
      <c r="BT114" s="1">
        <v>41</v>
      </c>
      <c r="BU114" s="1">
        <v>1</v>
      </c>
      <c r="BV114" s="1">
        <v>43.86</v>
      </c>
      <c r="BW114" s="1">
        <v>4</v>
      </c>
      <c r="BX114" s="1">
        <v>36.89</v>
      </c>
      <c r="BY114" s="1">
        <v>428.31</v>
      </c>
      <c r="BZ114" s="1">
        <v>57.47</v>
      </c>
      <c r="CA114" s="1">
        <v>6.12</v>
      </c>
      <c r="CB114" s="1">
        <v>54.38</v>
      </c>
      <c r="CC114" s="1">
        <v>6.42</v>
      </c>
      <c r="CD114" s="1">
        <v>48.35</v>
      </c>
      <c r="CE114" s="1">
        <v>1.17</v>
      </c>
      <c r="CF114" s="1">
        <v>38.909999999999997</v>
      </c>
      <c r="CG114" s="1">
        <v>0.97</v>
      </c>
      <c r="CH114" s="1">
        <v>52.46</v>
      </c>
      <c r="CI114" s="1">
        <v>0</v>
      </c>
      <c r="CJ114" s="1">
        <v>44.54</v>
      </c>
      <c r="CK114" s="1">
        <v>-0.01</v>
      </c>
      <c r="CL114" s="1">
        <v>47.15</v>
      </c>
      <c r="CM114" s="1">
        <v>0.02</v>
      </c>
      <c r="CN114" s="1">
        <v>52.02</v>
      </c>
      <c r="CO114" s="1">
        <v>0.08</v>
      </c>
      <c r="CP114" s="1">
        <v>58.07</v>
      </c>
      <c r="CQ114" s="1">
        <v>-0.03</v>
      </c>
      <c r="CR114" s="1">
        <v>45.62</v>
      </c>
      <c r="CS114" s="1">
        <v>13</v>
      </c>
      <c r="CT114" s="1">
        <v>41</v>
      </c>
      <c r="CU114" s="1">
        <v>49</v>
      </c>
      <c r="CV114" s="1">
        <v>40</v>
      </c>
      <c r="CW114" s="1">
        <v>33</v>
      </c>
      <c r="CX114" s="1">
        <v>30</v>
      </c>
      <c r="CY114" s="1">
        <v>37</v>
      </c>
      <c r="CZ114" s="1">
        <v>25</v>
      </c>
      <c r="DA114" s="1">
        <v>1</v>
      </c>
    </row>
    <row r="115" spans="1:105" x14ac:dyDescent="0.15">
      <c r="A115" s="1" t="s">
        <v>106</v>
      </c>
      <c r="B115" s="1" t="s">
        <v>449</v>
      </c>
      <c r="C115" s="1">
        <v>3</v>
      </c>
      <c r="D115" s="1">
        <v>11</v>
      </c>
      <c r="E115" s="1">
        <v>16</v>
      </c>
      <c r="F115" s="1">
        <v>75</v>
      </c>
      <c r="G115" s="1">
        <v>94</v>
      </c>
      <c r="H115" s="1">
        <v>-19</v>
      </c>
      <c r="I115" s="1">
        <v>35</v>
      </c>
      <c r="J115" s="1">
        <v>31</v>
      </c>
      <c r="K115" s="1">
        <v>17</v>
      </c>
      <c r="L115" s="1">
        <v>33</v>
      </c>
      <c r="M115" s="1">
        <v>64</v>
      </c>
      <c r="N115" s="1">
        <v>74</v>
      </c>
      <c r="O115" s="1">
        <v>12</v>
      </c>
      <c r="P115" s="1">
        <v>38</v>
      </c>
      <c r="Q115" s="1">
        <v>6</v>
      </c>
      <c r="R115" s="1">
        <v>32</v>
      </c>
      <c r="S115" s="1">
        <v>70</v>
      </c>
      <c r="T115" s="1">
        <v>77</v>
      </c>
      <c r="U115" s="1">
        <v>134</v>
      </c>
      <c r="V115" s="1">
        <v>74</v>
      </c>
      <c r="W115" s="1">
        <v>120</v>
      </c>
      <c r="X115" s="1">
        <v>20</v>
      </c>
      <c r="Y115" s="1">
        <v>5</v>
      </c>
      <c r="Z115" s="1">
        <v>15</v>
      </c>
      <c r="AA115" s="1">
        <v>5</v>
      </c>
      <c r="AB115" s="1">
        <v>120</v>
      </c>
      <c r="AC115" s="1">
        <v>35</v>
      </c>
      <c r="AD115" s="1">
        <v>6</v>
      </c>
      <c r="AE115" s="1">
        <v>11</v>
      </c>
      <c r="AF115" s="1">
        <v>76</v>
      </c>
      <c r="AG115" s="1">
        <v>82</v>
      </c>
      <c r="AH115" s="1">
        <v>20</v>
      </c>
      <c r="AI115" s="1">
        <v>25</v>
      </c>
      <c r="AJ115" s="1">
        <v>25</v>
      </c>
      <c r="AK115" s="1">
        <v>2</v>
      </c>
      <c r="AL115" s="1">
        <v>5</v>
      </c>
      <c r="AM115" s="1">
        <v>5</v>
      </c>
      <c r="AN115" s="1">
        <v>12</v>
      </c>
      <c r="AO115" s="1">
        <v>26</v>
      </c>
      <c r="AP115" s="1">
        <v>3</v>
      </c>
      <c r="AQ115" s="1">
        <v>20</v>
      </c>
      <c r="AR115" s="1">
        <v>10</v>
      </c>
      <c r="AS115" s="1">
        <v>45</v>
      </c>
      <c r="AT115" s="1">
        <v>12</v>
      </c>
      <c r="AU115" s="1">
        <v>44</v>
      </c>
      <c r="AV115" s="1">
        <v>6</v>
      </c>
      <c r="AW115" s="1">
        <v>25</v>
      </c>
      <c r="AX115" s="1">
        <v>3</v>
      </c>
      <c r="AY115" s="1">
        <v>40</v>
      </c>
      <c r="AZ115" s="1">
        <v>2</v>
      </c>
      <c r="BA115" s="1">
        <v>2</v>
      </c>
      <c r="BB115" s="1">
        <v>2</v>
      </c>
      <c r="BC115" s="1">
        <v>6</v>
      </c>
      <c r="BD115" s="1">
        <v>28</v>
      </c>
      <c r="BE115" s="1">
        <v>2</v>
      </c>
      <c r="BF115" s="1">
        <v>22</v>
      </c>
      <c r="BG115" s="1">
        <v>9</v>
      </c>
      <c r="BH115" s="1">
        <v>5</v>
      </c>
      <c r="BI115" s="1">
        <v>10</v>
      </c>
      <c r="BJ115" s="1">
        <v>24</v>
      </c>
      <c r="BK115" s="1">
        <v>39</v>
      </c>
      <c r="BL115" s="1">
        <v>13</v>
      </c>
      <c r="BM115" s="1">
        <v>33</v>
      </c>
      <c r="BN115" s="1">
        <v>74</v>
      </c>
      <c r="BO115" s="1">
        <v>20</v>
      </c>
      <c r="BP115" s="1">
        <v>1.62</v>
      </c>
      <c r="BQ115" s="1">
        <v>0.54</v>
      </c>
      <c r="BR115" s="1">
        <v>-0.09</v>
      </c>
      <c r="BS115" s="1">
        <v>0.69</v>
      </c>
      <c r="BT115" s="1">
        <v>19</v>
      </c>
      <c r="BU115" s="1">
        <v>42</v>
      </c>
      <c r="BV115" s="1">
        <v>147.91</v>
      </c>
      <c r="BW115" s="1">
        <v>10</v>
      </c>
      <c r="BX115" s="1">
        <v>48.52</v>
      </c>
      <c r="BY115" s="1">
        <v>525.87</v>
      </c>
      <c r="BZ115" s="1">
        <v>69.44</v>
      </c>
      <c r="CA115" s="1">
        <v>1.53</v>
      </c>
      <c r="CB115" s="1">
        <v>95.1</v>
      </c>
      <c r="CC115" s="1">
        <v>34.69</v>
      </c>
      <c r="CD115" s="1">
        <v>81.209999999999994</v>
      </c>
      <c r="CE115" s="1">
        <v>0.83</v>
      </c>
      <c r="CF115" s="1">
        <v>51.04</v>
      </c>
      <c r="CG115" s="1">
        <v>2.91</v>
      </c>
      <c r="CH115" s="1">
        <v>75.459999999999994</v>
      </c>
      <c r="CI115" s="1">
        <v>2</v>
      </c>
      <c r="CJ115" s="1">
        <v>80.62</v>
      </c>
      <c r="CK115" s="1">
        <v>0</v>
      </c>
      <c r="CL115" s="1">
        <v>43.8</v>
      </c>
      <c r="CM115" s="1">
        <v>0.22</v>
      </c>
      <c r="CN115" s="1">
        <v>82.62</v>
      </c>
      <c r="CO115" s="1">
        <v>7.0000000000000007E-2</v>
      </c>
      <c r="CP115" s="1">
        <v>65.52</v>
      </c>
      <c r="CQ115" s="1">
        <v>7.0000000000000007E-2</v>
      </c>
      <c r="CR115" s="1">
        <v>60.67</v>
      </c>
      <c r="CS115" s="1">
        <v>18</v>
      </c>
      <c r="CT115" s="1">
        <v>19</v>
      </c>
      <c r="CU115" s="1">
        <v>31</v>
      </c>
      <c r="CV115" s="1">
        <v>26</v>
      </c>
      <c r="CW115" s="1">
        <v>28</v>
      </c>
      <c r="CX115" s="1">
        <v>40</v>
      </c>
      <c r="CY115" s="1">
        <v>20</v>
      </c>
      <c r="CZ115" s="1">
        <v>11</v>
      </c>
      <c r="DA115" s="1">
        <v>0</v>
      </c>
    </row>
    <row r="116" spans="1:105" x14ac:dyDescent="0.15">
      <c r="A116" s="1" t="s">
        <v>127</v>
      </c>
      <c r="B116" s="1" t="s">
        <v>497</v>
      </c>
      <c r="C116" s="1">
        <v>1</v>
      </c>
      <c r="D116" s="1">
        <v>8</v>
      </c>
      <c r="E116" s="1">
        <v>20</v>
      </c>
      <c r="F116" s="1">
        <v>79</v>
      </c>
      <c r="G116" s="1">
        <v>90</v>
      </c>
      <c r="I116" s="1">
        <v>35</v>
      </c>
      <c r="J116" s="1">
        <v>27</v>
      </c>
      <c r="K116" s="1">
        <v>26</v>
      </c>
      <c r="L116" s="1">
        <v>34</v>
      </c>
      <c r="M116" s="1">
        <v>61</v>
      </c>
      <c r="N116" s="1">
        <v>73</v>
      </c>
      <c r="O116" s="1">
        <v>58</v>
      </c>
      <c r="P116" s="1">
        <v>60</v>
      </c>
      <c r="Q116" s="1">
        <v>29</v>
      </c>
      <c r="R116" s="1">
        <v>58</v>
      </c>
      <c r="S116" s="1">
        <v>118</v>
      </c>
      <c r="T116" s="1">
        <v>115</v>
      </c>
      <c r="U116" s="1">
        <v>179</v>
      </c>
      <c r="V116" s="1">
        <v>90</v>
      </c>
      <c r="W116" s="1">
        <v>120</v>
      </c>
      <c r="X116" s="1">
        <v>30</v>
      </c>
      <c r="Y116" s="1">
        <v>0</v>
      </c>
      <c r="Z116" s="1">
        <v>30</v>
      </c>
      <c r="AA116" s="1">
        <v>9</v>
      </c>
      <c r="AB116" s="1">
        <v>120</v>
      </c>
      <c r="AC116" s="1">
        <v>52</v>
      </c>
      <c r="AD116" s="1">
        <v>6</v>
      </c>
      <c r="AE116" s="1">
        <v>15</v>
      </c>
      <c r="AG116" s="1">
        <v>47</v>
      </c>
      <c r="AH116" s="1">
        <v>26</v>
      </c>
      <c r="AI116" s="1">
        <v>47</v>
      </c>
      <c r="AJ116" s="1">
        <v>35</v>
      </c>
      <c r="AK116" s="1">
        <v>5</v>
      </c>
      <c r="AL116" s="1">
        <v>6</v>
      </c>
      <c r="AM116" s="1">
        <v>8</v>
      </c>
      <c r="AN116" s="1">
        <v>19</v>
      </c>
      <c r="AO116" s="1">
        <v>33</v>
      </c>
      <c r="AP116" s="1">
        <v>7</v>
      </c>
      <c r="AQ116" s="1">
        <v>27</v>
      </c>
      <c r="AR116" s="1">
        <v>11</v>
      </c>
      <c r="AS116" s="1">
        <v>51</v>
      </c>
      <c r="AT116" s="1">
        <v>19</v>
      </c>
      <c r="AU116" s="1">
        <v>53</v>
      </c>
      <c r="AV116" s="1">
        <v>13</v>
      </c>
      <c r="AW116" s="1">
        <v>38</v>
      </c>
      <c r="AX116" s="1">
        <v>18</v>
      </c>
      <c r="AY116" s="1">
        <v>38</v>
      </c>
      <c r="AZ116" s="1">
        <v>8</v>
      </c>
      <c r="BA116" s="1">
        <v>10</v>
      </c>
      <c r="BB116" s="1">
        <v>10</v>
      </c>
      <c r="BC116" s="1">
        <v>28</v>
      </c>
      <c r="BD116" s="1">
        <v>49</v>
      </c>
      <c r="BE116" s="1">
        <v>11</v>
      </c>
      <c r="BF116" s="1">
        <v>54</v>
      </c>
      <c r="BG116" s="1">
        <v>10</v>
      </c>
      <c r="BH116" s="1">
        <v>8</v>
      </c>
      <c r="BI116" s="1">
        <v>11</v>
      </c>
      <c r="BJ116" s="1">
        <v>29</v>
      </c>
      <c r="BK116" s="1">
        <v>35</v>
      </c>
      <c r="BL116" s="1">
        <v>16</v>
      </c>
      <c r="BM116" s="1">
        <v>33</v>
      </c>
      <c r="BN116" s="1">
        <v>97</v>
      </c>
      <c r="BO116" s="1">
        <v>52</v>
      </c>
      <c r="BP116" s="1">
        <v>2.81</v>
      </c>
      <c r="BQ116" s="1">
        <v>2.57</v>
      </c>
      <c r="BR116" s="1">
        <v>0.39</v>
      </c>
      <c r="BS116" s="1">
        <v>1.92</v>
      </c>
      <c r="BU116" s="1">
        <v>1</v>
      </c>
      <c r="BV116" s="1">
        <v>43.87</v>
      </c>
      <c r="BW116" s="1">
        <v>20</v>
      </c>
      <c r="BX116" s="1">
        <v>57.31</v>
      </c>
      <c r="BY116" s="1">
        <v>392.02</v>
      </c>
      <c r="BZ116" s="1">
        <v>52.1</v>
      </c>
      <c r="CA116" s="1">
        <v>8.31</v>
      </c>
      <c r="CB116" s="1">
        <v>63.54</v>
      </c>
      <c r="CC116" s="1">
        <v>13.96</v>
      </c>
      <c r="CD116" s="1">
        <v>62.58</v>
      </c>
      <c r="CE116" s="1">
        <v>0.39</v>
      </c>
      <c r="CF116" s="1">
        <v>55.8</v>
      </c>
      <c r="CG116" s="1">
        <v>0.16</v>
      </c>
      <c r="CH116" s="1">
        <v>43.53</v>
      </c>
      <c r="CI116" s="1">
        <v>0</v>
      </c>
      <c r="CJ116" s="1">
        <v>44.54</v>
      </c>
      <c r="CK116" s="1">
        <v>-0.06</v>
      </c>
      <c r="CL116" s="1">
        <v>29.29</v>
      </c>
      <c r="CM116" s="1">
        <v>-0.15</v>
      </c>
      <c r="CN116" s="1">
        <v>29.71</v>
      </c>
      <c r="CO116" s="1">
        <v>0.1</v>
      </c>
      <c r="CP116" s="1">
        <v>62.65</v>
      </c>
      <c r="CQ116" s="1">
        <v>0.21</v>
      </c>
      <c r="CS116" s="1">
        <v>26</v>
      </c>
      <c r="CT116" s="1">
        <v>32</v>
      </c>
      <c r="CU116" s="1">
        <v>45</v>
      </c>
      <c r="CV116" s="1">
        <v>33</v>
      </c>
      <c r="CW116" s="1">
        <v>49</v>
      </c>
      <c r="CX116" s="1">
        <v>38</v>
      </c>
      <c r="CY116" s="1">
        <v>52</v>
      </c>
      <c r="CZ116" s="1">
        <v>32</v>
      </c>
      <c r="DA116" s="1">
        <v>1</v>
      </c>
    </row>
    <row r="117" spans="1:105" x14ac:dyDescent="0.15">
      <c r="A117" s="1" t="s">
        <v>129</v>
      </c>
      <c r="B117" s="1" t="s">
        <v>498</v>
      </c>
      <c r="C117" s="1">
        <v>3</v>
      </c>
      <c r="D117" s="1">
        <v>16</v>
      </c>
      <c r="E117" s="1">
        <v>45</v>
      </c>
      <c r="F117" s="1">
        <v>119</v>
      </c>
      <c r="G117" s="1">
        <v>106</v>
      </c>
      <c r="H117" s="1">
        <v>13</v>
      </c>
      <c r="I117" s="1">
        <v>63</v>
      </c>
      <c r="J117" s="1">
        <v>56</v>
      </c>
      <c r="K117" s="1">
        <v>32</v>
      </c>
      <c r="L117" s="1">
        <v>49</v>
      </c>
      <c r="M117" s="1">
        <v>105</v>
      </c>
      <c r="N117" s="1">
        <v>104</v>
      </c>
      <c r="O117" s="1">
        <v>24</v>
      </c>
      <c r="P117" s="1">
        <v>44</v>
      </c>
      <c r="Q117" s="1">
        <v>24</v>
      </c>
      <c r="R117" s="1">
        <v>58</v>
      </c>
      <c r="S117" s="1">
        <v>102</v>
      </c>
      <c r="T117" s="1">
        <v>101</v>
      </c>
      <c r="U117" s="1">
        <v>207</v>
      </c>
      <c r="V117" s="1">
        <v>103</v>
      </c>
      <c r="W117" s="1">
        <v>120</v>
      </c>
      <c r="X117" s="1">
        <v>18</v>
      </c>
      <c r="Y117" s="1">
        <v>0</v>
      </c>
      <c r="Z117" s="1">
        <v>18</v>
      </c>
      <c r="AA117" s="1">
        <v>6</v>
      </c>
      <c r="AB117" s="1">
        <v>120</v>
      </c>
      <c r="AC117" s="1">
        <v>47</v>
      </c>
      <c r="AD117" s="1">
        <v>8</v>
      </c>
      <c r="AE117" s="1">
        <v>14</v>
      </c>
      <c r="AF117" s="1">
        <v>84</v>
      </c>
      <c r="AG117" s="1">
        <v>56</v>
      </c>
      <c r="AH117" s="1">
        <v>30</v>
      </c>
      <c r="AI117" s="1">
        <v>35</v>
      </c>
      <c r="AJ117" s="1">
        <v>37</v>
      </c>
      <c r="AK117" s="1">
        <v>2</v>
      </c>
      <c r="AL117" s="1">
        <v>4</v>
      </c>
      <c r="AM117" s="1">
        <v>5</v>
      </c>
      <c r="AN117" s="1">
        <v>11</v>
      </c>
      <c r="AO117" s="1">
        <v>26</v>
      </c>
      <c r="AP117" s="1">
        <v>5</v>
      </c>
      <c r="AQ117" s="1">
        <v>25</v>
      </c>
      <c r="AR117" s="1">
        <v>8</v>
      </c>
      <c r="AS117" s="1">
        <v>28</v>
      </c>
      <c r="AT117" s="1">
        <v>15</v>
      </c>
      <c r="AU117" s="1">
        <v>48</v>
      </c>
      <c r="AV117" s="1">
        <v>17</v>
      </c>
      <c r="AW117" s="1">
        <v>54</v>
      </c>
      <c r="AX117" s="1">
        <v>3</v>
      </c>
      <c r="AY117" s="1">
        <v>36</v>
      </c>
      <c r="AZ117" s="1">
        <v>2</v>
      </c>
      <c r="BA117" s="1">
        <v>4</v>
      </c>
      <c r="BB117" s="1">
        <v>8</v>
      </c>
      <c r="BC117" s="1">
        <v>14</v>
      </c>
      <c r="BD117" s="1">
        <v>40</v>
      </c>
      <c r="BE117" s="1">
        <v>4</v>
      </c>
      <c r="BF117" s="1">
        <v>30</v>
      </c>
      <c r="BG117" s="1">
        <v>8</v>
      </c>
      <c r="BH117" s="1">
        <v>9</v>
      </c>
      <c r="BI117" s="1">
        <v>7</v>
      </c>
      <c r="BJ117" s="1">
        <v>24</v>
      </c>
      <c r="BK117" s="1">
        <v>28</v>
      </c>
      <c r="BL117" s="1">
        <v>18</v>
      </c>
      <c r="BM117" s="1">
        <v>42</v>
      </c>
      <c r="BN117" s="1">
        <v>91</v>
      </c>
      <c r="BO117" s="1">
        <v>41</v>
      </c>
      <c r="BP117" s="1">
        <v>1.45</v>
      </c>
      <c r="BQ117" s="1">
        <v>0.71</v>
      </c>
      <c r="BR117" s="1">
        <v>1.22</v>
      </c>
      <c r="BS117" s="1">
        <v>1.1299999999999999</v>
      </c>
      <c r="BT117" s="1">
        <v>23</v>
      </c>
      <c r="BU117" s="1">
        <v>4</v>
      </c>
      <c r="BV117" s="1">
        <v>52.2</v>
      </c>
      <c r="BW117" s="1">
        <v>1</v>
      </c>
      <c r="BX117" s="1">
        <v>35.01</v>
      </c>
      <c r="BY117" s="1">
        <v>554.54999999999995</v>
      </c>
      <c r="BZ117" s="1">
        <v>77.88</v>
      </c>
      <c r="CA117" s="1">
        <v>7.97</v>
      </c>
      <c r="CB117" s="1">
        <v>60.06</v>
      </c>
      <c r="CC117" s="1">
        <v>10.85</v>
      </c>
      <c r="CD117" s="1">
        <v>59.45</v>
      </c>
      <c r="CE117" s="1">
        <v>2.16</v>
      </c>
      <c r="CF117" s="1">
        <v>20.03</v>
      </c>
      <c r="CG117" s="1">
        <v>3.87</v>
      </c>
      <c r="CH117" s="1">
        <v>100</v>
      </c>
      <c r="CI117" s="1">
        <v>2</v>
      </c>
      <c r="CJ117" s="1">
        <v>63.52</v>
      </c>
      <c r="CK117" s="1">
        <v>-0.04</v>
      </c>
      <c r="CL117" s="1">
        <v>39.14</v>
      </c>
      <c r="CM117" s="1">
        <v>-0.02</v>
      </c>
      <c r="CN117" s="1">
        <v>51.46</v>
      </c>
      <c r="CO117" s="1">
        <v>0.05</v>
      </c>
      <c r="CP117" s="1">
        <v>54.46</v>
      </c>
      <c r="CQ117" s="1">
        <v>0.08</v>
      </c>
      <c r="CR117" s="1">
        <v>74.349999999999994</v>
      </c>
      <c r="CS117" s="1">
        <v>32</v>
      </c>
      <c r="CT117" s="1">
        <v>23</v>
      </c>
      <c r="CU117" s="1">
        <v>52</v>
      </c>
      <c r="CV117" s="1">
        <v>26</v>
      </c>
      <c r="CW117" s="1">
        <v>40</v>
      </c>
      <c r="CX117" s="1">
        <v>36</v>
      </c>
      <c r="CY117" s="1">
        <v>41</v>
      </c>
      <c r="CZ117" s="1">
        <v>27</v>
      </c>
      <c r="DA117" s="1">
        <v>1</v>
      </c>
    </row>
    <row r="118" spans="1:105" x14ac:dyDescent="0.15">
      <c r="A118" s="1" t="s">
        <v>131</v>
      </c>
      <c r="B118" s="1" t="s">
        <v>455</v>
      </c>
      <c r="C118" s="1">
        <v>1</v>
      </c>
      <c r="D118" s="1">
        <v>13</v>
      </c>
      <c r="E118" s="1">
        <v>31</v>
      </c>
      <c r="F118" s="1">
        <v>97</v>
      </c>
      <c r="G118" s="1">
        <v>105</v>
      </c>
      <c r="H118" s="1">
        <v>-8</v>
      </c>
      <c r="I118" s="1">
        <v>53</v>
      </c>
      <c r="J118" s="1">
        <v>46</v>
      </c>
      <c r="K118" s="1">
        <v>38</v>
      </c>
      <c r="L118" s="1">
        <v>54</v>
      </c>
      <c r="M118" s="1">
        <v>100</v>
      </c>
      <c r="N118" s="1">
        <v>99</v>
      </c>
      <c r="O118" s="1">
        <v>43</v>
      </c>
      <c r="P118" s="1">
        <v>50</v>
      </c>
      <c r="Q118" s="1">
        <v>28</v>
      </c>
      <c r="R118" s="1">
        <v>56</v>
      </c>
      <c r="S118" s="1">
        <v>106</v>
      </c>
      <c r="T118" s="1">
        <v>104</v>
      </c>
      <c r="U118" s="1">
        <v>206</v>
      </c>
      <c r="V118" s="1">
        <v>102</v>
      </c>
      <c r="W118" s="1">
        <v>120</v>
      </c>
      <c r="X118" s="1">
        <v>21</v>
      </c>
      <c r="Y118" s="1">
        <v>0</v>
      </c>
      <c r="Z118" s="1">
        <v>21</v>
      </c>
      <c r="AA118" s="1">
        <v>6</v>
      </c>
      <c r="AB118" s="1">
        <v>120</v>
      </c>
      <c r="AC118" s="1">
        <v>53</v>
      </c>
      <c r="AD118" s="1">
        <v>7</v>
      </c>
      <c r="AE118" s="1">
        <v>13</v>
      </c>
      <c r="AF118" s="1">
        <v>81</v>
      </c>
      <c r="AG118" s="1">
        <v>54</v>
      </c>
      <c r="AH118" s="1">
        <v>22</v>
      </c>
      <c r="AI118" s="1">
        <v>37</v>
      </c>
      <c r="AJ118" s="1">
        <v>25</v>
      </c>
      <c r="AK118" s="1">
        <v>3</v>
      </c>
      <c r="AL118" s="1">
        <v>5</v>
      </c>
      <c r="AM118" s="1">
        <v>5</v>
      </c>
      <c r="AN118" s="1">
        <v>13</v>
      </c>
      <c r="AO118" s="1">
        <v>26</v>
      </c>
      <c r="AP118" s="1">
        <v>4</v>
      </c>
      <c r="AQ118" s="1">
        <v>20</v>
      </c>
      <c r="AR118" s="1">
        <v>7</v>
      </c>
      <c r="AS118" s="1">
        <v>22</v>
      </c>
      <c r="AT118" s="1">
        <v>14</v>
      </c>
      <c r="AU118" s="1">
        <v>37</v>
      </c>
      <c r="AV118" s="1">
        <v>8</v>
      </c>
      <c r="AW118" s="1">
        <v>24</v>
      </c>
      <c r="AX118" s="1">
        <v>23</v>
      </c>
      <c r="AY118" s="1">
        <v>49</v>
      </c>
      <c r="AZ118" s="1">
        <v>3</v>
      </c>
      <c r="BA118" s="1">
        <v>2</v>
      </c>
      <c r="BB118" s="1">
        <v>4</v>
      </c>
      <c r="BC118" s="1">
        <v>9</v>
      </c>
      <c r="BD118" s="1">
        <v>16</v>
      </c>
      <c r="BE118" s="1">
        <v>4</v>
      </c>
      <c r="BF118" s="1">
        <v>20</v>
      </c>
      <c r="BG118" s="1">
        <v>7</v>
      </c>
      <c r="BH118" s="1">
        <v>7</v>
      </c>
      <c r="BI118" s="1">
        <v>6</v>
      </c>
      <c r="BJ118" s="1">
        <v>20</v>
      </c>
      <c r="BK118" s="1">
        <v>22</v>
      </c>
      <c r="BL118" s="1">
        <v>18</v>
      </c>
      <c r="BM118" s="1">
        <v>39</v>
      </c>
      <c r="BN118" s="1">
        <v>89</v>
      </c>
      <c r="BO118" s="1">
        <v>43</v>
      </c>
      <c r="BP118" s="1">
        <v>1.9300000000000002</v>
      </c>
      <c r="BQ118" s="1">
        <v>2.0099999999999998</v>
      </c>
      <c r="BR118" s="1">
        <v>0.25</v>
      </c>
      <c r="BS118" s="1">
        <v>1.4</v>
      </c>
      <c r="BT118" s="1">
        <v>24</v>
      </c>
      <c r="BU118" s="1">
        <v>4</v>
      </c>
      <c r="BV118" s="1">
        <v>52.91</v>
      </c>
      <c r="BW118" s="1">
        <v>20</v>
      </c>
      <c r="BX118" s="1">
        <v>57.31</v>
      </c>
      <c r="BY118" s="1">
        <v>379.97</v>
      </c>
      <c r="BZ118" s="1">
        <v>50.2</v>
      </c>
      <c r="CA118" s="1">
        <v>7.21</v>
      </c>
      <c r="CB118" s="1">
        <v>59.28</v>
      </c>
      <c r="CC118" s="1">
        <v>6.32</v>
      </c>
      <c r="CD118" s="1">
        <v>48.08</v>
      </c>
      <c r="CE118" s="1">
        <v>0.15</v>
      </c>
      <c r="CF118" s="1">
        <v>60.95</v>
      </c>
      <c r="CG118" s="1">
        <v>0.65</v>
      </c>
      <c r="CH118" s="1">
        <v>48.9</v>
      </c>
      <c r="CI118" s="1">
        <v>2</v>
      </c>
      <c r="CJ118" s="1">
        <v>57.28</v>
      </c>
      <c r="CK118" s="1">
        <v>0</v>
      </c>
      <c r="CL118" s="1">
        <v>49.9</v>
      </c>
      <c r="CM118" s="1">
        <v>0.03</v>
      </c>
      <c r="CN118" s="1">
        <v>53.1</v>
      </c>
      <c r="CO118" s="1">
        <v>0.08</v>
      </c>
      <c r="CP118" s="1">
        <v>57.06</v>
      </c>
      <c r="CQ118" s="1">
        <v>0.01</v>
      </c>
      <c r="CR118" s="1">
        <v>49.99</v>
      </c>
      <c r="CS118" s="1">
        <v>22</v>
      </c>
      <c r="CT118" s="1">
        <v>24</v>
      </c>
      <c r="CU118" s="1">
        <v>26</v>
      </c>
      <c r="CV118" s="1">
        <v>26</v>
      </c>
      <c r="CW118" s="1">
        <v>16</v>
      </c>
      <c r="CX118" s="1">
        <v>49</v>
      </c>
      <c r="CY118" s="1">
        <v>43</v>
      </c>
      <c r="CZ118" s="1">
        <v>17</v>
      </c>
      <c r="DA118" s="1">
        <v>1</v>
      </c>
    </row>
    <row r="119" spans="1:105" x14ac:dyDescent="0.15">
      <c r="A119" s="1" t="s">
        <v>139</v>
      </c>
      <c r="B119" s="1" t="s">
        <v>499</v>
      </c>
      <c r="C119" s="1">
        <v>3</v>
      </c>
      <c r="D119" s="1">
        <v>13</v>
      </c>
      <c r="E119" s="1">
        <v>31</v>
      </c>
      <c r="F119" s="1">
        <v>96</v>
      </c>
      <c r="G119" s="1">
        <v>102</v>
      </c>
      <c r="H119" s="1">
        <v>-6</v>
      </c>
      <c r="I119" s="1">
        <v>56</v>
      </c>
      <c r="J119" s="1">
        <v>47</v>
      </c>
      <c r="K119" s="1">
        <v>33</v>
      </c>
      <c r="L119" s="1">
        <v>48</v>
      </c>
      <c r="M119" s="1">
        <v>95</v>
      </c>
      <c r="N119" s="1">
        <v>96</v>
      </c>
      <c r="O119" s="1">
        <v>26</v>
      </c>
      <c r="P119" s="1">
        <v>44</v>
      </c>
      <c r="Q119" s="1">
        <v>28</v>
      </c>
      <c r="R119" s="1">
        <v>61</v>
      </c>
      <c r="S119" s="1">
        <v>105</v>
      </c>
      <c r="T119" s="1">
        <v>103</v>
      </c>
      <c r="U119" s="1">
        <v>200</v>
      </c>
      <c r="V119" s="1">
        <v>100</v>
      </c>
      <c r="W119" s="1">
        <v>120</v>
      </c>
      <c r="X119" s="1">
        <v>20</v>
      </c>
      <c r="Y119" s="1">
        <v>2</v>
      </c>
      <c r="Z119" s="1">
        <v>20</v>
      </c>
      <c r="AA119" s="1">
        <v>6</v>
      </c>
      <c r="AB119" s="1">
        <v>120</v>
      </c>
      <c r="AC119" s="1">
        <v>56</v>
      </c>
      <c r="AD119" s="1">
        <v>8</v>
      </c>
      <c r="AE119" s="1">
        <v>14</v>
      </c>
      <c r="AF119" s="1">
        <v>84</v>
      </c>
      <c r="AG119" s="1">
        <v>44</v>
      </c>
      <c r="AH119" s="1">
        <v>5</v>
      </c>
      <c r="AI119" s="1">
        <v>8</v>
      </c>
      <c r="AJ119" s="1">
        <v>46</v>
      </c>
      <c r="AK119" s="1">
        <v>7</v>
      </c>
      <c r="AL119" s="1">
        <v>9</v>
      </c>
      <c r="AM119" s="1">
        <v>10</v>
      </c>
      <c r="AN119" s="1">
        <v>26</v>
      </c>
      <c r="AO119" s="1">
        <v>46</v>
      </c>
      <c r="AP119" s="1">
        <v>10</v>
      </c>
      <c r="AQ119" s="1">
        <v>50</v>
      </c>
      <c r="AR119" s="1">
        <v>12</v>
      </c>
      <c r="AS119" s="1">
        <v>57</v>
      </c>
      <c r="AT119" s="1">
        <v>19</v>
      </c>
      <c r="AU119" s="1">
        <v>59</v>
      </c>
      <c r="AV119" s="1">
        <v>14</v>
      </c>
      <c r="AW119" s="1">
        <v>44</v>
      </c>
      <c r="AX119" s="1">
        <v>10</v>
      </c>
      <c r="AY119" s="1">
        <v>38</v>
      </c>
      <c r="AZ119" s="1">
        <v>3</v>
      </c>
      <c r="BA119" s="1">
        <v>3</v>
      </c>
      <c r="BB119" s="1">
        <v>5</v>
      </c>
      <c r="BC119" s="1">
        <v>11</v>
      </c>
      <c r="BD119" s="1">
        <v>30</v>
      </c>
      <c r="BE119" s="1">
        <v>5</v>
      </c>
      <c r="BF119" s="1">
        <v>30</v>
      </c>
      <c r="BG119" s="1">
        <v>13</v>
      </c>
      <c r="BH119" s="1">
        <v>12</v>
      </c>
      <c r="BI119" s="1">
        <v>10</v>
      </c>
      <c r="BJ119" s="1">
        <v>35</v>
      </c>
      <c r="BK119" s="1">
        <v>42</v>
      </c>
      <c r="BL119" s="1">
        <v>25</v>
      </c>
      <c r="BM119" s="1">
        <v>54</v>
      </c>
      <c r="BN119" s="1">
        <v>99</v>
      </c>
      <c r="BO119" s="1">
        <v>51</v>
      </c>
      <c r="BP119" s="1">
        <v>4.24</v>
      </c>
      <c r="BQ119" s="1">
        <v>4.24</v>
      </c>
      <c r="BR119" s="1">
        <v>1.9500000000000002</v>
      </c>
      <c r="BS119" s="1">
        <v>3.48</v>
      </c>
      <c r="BT119" s="1">
        <v>58</v>
      </c>
      <c r="BU119" s="1">
        <v>0</v>
      </c>
      <c r="BV119" s="1">
        <v>42.1</v>
      </c>
      <c r="BW119" s="1">
        <v>5</v>
      </c>
      <c r="BX119" s="1">
        <v>39.369999999999997</v>
      </c>
      <c r="BY119" s="1">
        <v>435.95</v>
      </c>
      <c r="BZ119" s="1">
        <v>59.73</v>
      </c>
      <c r="CA119" s="1">
        <v>5.91</v>
      </c>
      <c r="CB119" s="1">
        <v>55.76</v>
      </c>
      <c r="CC119" s="1">
        <v>3.49</v>
      </c>
      <c r="CD119" s="1">
        <v>36.5</v>
      </c>
      <c r="CE119" s="1">
        <v>1.03</v>
      </c>
      <c r="CF119" s="1">
        <v>43.51</v>
      </c>
      <c r="CG119" s="1">
        <v>0.63</v>
      </c>
      <c r="CH119" s="1">
        <v>48.76</v>
      </c>
      <c r="CI119" s="1">
        <v>0</v>
      </c>
      <c r="CJ119" s="1">
        <v>45.77</v>
      </c>
      <c r="CK119" s="1">
        <v>-0.03</v>
      </c>
      <c r="CL119" s="1">
        <v>35.03</v>
      </c>
      <c r="CM119" s="1">
        <v>-7.0000000000000007E-2</v>
      </c>
      <c r="CN119" s="1">
        <v>44.33</v>
      </c>
      <c r="CO119" s="1">
        <v>0.08</v>
      </c>
      <c r="CP119" s="1">
        <v>60.84</v>
      </c>
      <c r="CQ119" s="1">
        <v>7.0000000000000007E-2</v>
      </c>
      <c r="CR119" s="1">
        <v>58.85</v>
      </c>
      <c r="CS119" s="1">
        <v>43</v>
      </c>
      <c r="CT119" s="1">
        <v>58</v>
      </c>
      <c r="CU119" s="1">
        <v>52</v>
      </c>
      <c r="CV119" s="1">
        <v>46</v>
      </c>
      <c r="CW119" s="1">
        <v>30</v>
      </c>
      <c r="CX119" s="1">
        <v>38</v>
      </c>
      <c r="CY119" s="1">
        <v>51</v>
      </c>
      <c r="CZ119" s="1">
        <v>42</v>
      </c>
      <c r="DA119" s="1">
        <v>1</v>
      </c>
    </row>
    <row r="120" spans="1:105" x14ac:dyDescent="0.15">
      <c r="A120" s="1" t="s">
        <v>133</v>
      </c>
      <c r="B120" s="1" t="s">
        <v>500</v>
      </c>
      <c r="C120" s="1">
        <v>3</v>
      </c>
      <c r="D120" s="1">
        <v>10</v>
      </c>
      <c r="E120" s="1">
        <v>20</v>
      </c>
      <c r="F120" s="1">
        <v>78</v>
      </c>
      <c r="G120" s="1">
        <v>94</v>
      </c>
      <c r="H120" s="1">
        <v>-16</v>
      </c>
      <c r="I120" s="1">
        <v>21</v>
      </c>
      <c r="J120" s="1">
        <v>20</v>
      </c>
      <c r="K120" s="1">
        <v>21</v>
      </c>
      <c r="L120" s="1">
        <v>27</v>
      </c>
      <c r="M120" s="1">
        <v>47</v>
      </c>
      <c r="N120" s="1">
        <v>63</v>
      </c>
      <c r="O120" s="1">
        <v>31</v>
      </c>
      <c r="P120" s="1">
        <v>41</v>
      </c>
      <c r="Q120" s="1">
        <v>20</v>
      </c>
      <c r="R120" s="1">
        <v>37</v>
      </c>
      <c r="S120" s="1">
        <v>78</v>
      </c>
      <c r="T120" s="1">
        <v>84</v>
      </c>
      <c r="U120" s="1">
        <v>125</v>
      </c>
      <c r="V120" s="1">
        <v>71</v>
      </c>
      <c r="W120" s="1">
        <v>120</v>
      </c>
      <c r="X120" s="1">
        <v>25</v>
      </c>
      <c r="Y120" s="1">
        <v>1</v>
      </c>
      <c r="Z120" s="1">
        <v>24</v>
      </c>
      <c r="AA120" s="1">
        <v>7</v>
      </c>
      <c r="AB120" s="1">
        <v>120</v>
      </c>
      <c r="AC120" s="1">
        <v>30</v>
      </c>
      <c r="AD120" s="1">
        <v>3</v>
      </c>
      <c r="AE120" s="1">
        <v>10</v>
      </c>
      <c r="AF120" s="1">
        <v>74</v>
      </c>
      <c r="AG120" s="1">
        <v>50</v>
      </c>
      <c r="AH120" s="1">
        <v>22</v>
      </c>
      <c r="AI120" s="1">
        <v>41</v>
      </c>
      <c r="AJ120" s="1">
        <v>26</v>
      </c>
      <c r="AK120" s="1">
        <v>3</v>
      </c>
      <c r="AL120" s="1">
        <v>4</v>
      </c>
      <c r="AM120" s="1">
        <v>6</v>
      </c>
      <c r="AN120" s="1">
        <v>13</v>
      </c>
      <c r="AO120" s="1">
        <v>26</v>
      </c>
      <c r="AP120" s="1">
        <v>5</v>
      </c>
      <c r="AQ120" s="1">
        <v>20</v>
      </c>
      <c r="AR120" s="1">
        <v>12</v>
      </c>
      <c r="AS120" s="1">
        <v>56</v>
      </c>
      <c r="AT120" s="1">
        <v>18</v>
      </c>
      <c r="AU120" s="1">
        <v>48</v>
      </c>
      <c r="AV120" s="1">
        <v>10</v>
      </c>
      <c r="AW120" s="1">
        <v>29</v>
      </c>
      <c r="AX120" s="1">
        <v>6</v>
      </c>
      <c r="AY120" s="1">
        <v>21</v>
      </c>
      <c r="AZ120" s="1">
        <v>4</v>
      </c>
      <c r="BA120" s="1">
        <v>4</v>
      </c>
      <c r="BB120" s="1">
        <v>6</v>
      </c>
      <c r="BC120" s="1">
        <v>14</v>
      </c>
      <c r="BD120" s="1">
        <v>21</v>
      </c>
      <c r="BE120" s="1">
        <v>6</v>
      </c>
      <c r="BF120" s="1">
        <v>20</v>
      </c>
      <c r="BG120" s="1">
        <v>7</v>
      </c>
      <c r="BH120" s="1">
        <v>6</v>
      </c>
      <c r="BI120" s="1">
        <v>8</v>
      </c>
      <c r="BJ120" s="1">
        <v>21</v>
      </c>
      <c r="BK120" s="1">
        <v>32</v>
      </c>
      <c r="BL120" s="1">
        <v>10</v>
      </c>
      <c r="BM120" s="1">
        <v>23</v>
      </c>
      <c r="BN120" s="1">
        <v>83</v>
      </c>
      <c r="BO120" s="1">
        <v>37</v>
      </c>
      <c r="BP120" s="1">
        <v>1.54</v>
      </c>
      <c r="BQ120" s="1">
        <v>1.05</v>
      </c>
      <c r="BR120" s="1">
        <v>0.18</v>
      </c>
      <c r="BS120" s="1">
        <v>0.92</v>
      </c>
      <c r="BT120" s="1">
        <v>16</v>
      </c>
      <c r="BU120" s="1">
        <v>26</v>
      </c>
      <c r="BV120" s="1">
        <v>119.18</v>
      </c>
      <c r="BW120" s="1">
        <v>26</v>
      </c>
      <c r="BX120" s="1">
        <v>65.02</v>
      </c>
      <c r="BY120" s="1">
        <v>390.34</v>
      </c>
      <c r="BZ120" s="1">
        <v>51.84</v>
      </c>
      <c r="CA120" s="1">
        <v>16.170000000000002</v>
      </c>
      <c r="CB120" s="1">
        <v>83.44</v>
      </c>
      <c r="CC120" s="1">
        <v>40.42</v>
      </c>
      <c r="CD120" s="1">
        <v>82.03</v>
      </c>
      <c r="CE120" s="1">
        <v>0.35</v>
      </c>
      <c r="CF120" s="1">
        <v>56.67</v>
      </c>
      <c r="CG120" s="1">
        <v>0.69</v>
      </c>
      <c r="CH120" s="1">
        <v>49.35</v>
      </c>
      <c r="CI120" s="1">
        <v>1</v>
      </c>
      <c r="CJ120" s="1">
        <v>50.91</v>
      </c>
      <c r="CK120" s="1">
        <v>0.01</v>
      </c>
      <c r="CL120" s="1">
        <v>50.82</v>
      </c>
      <c r="CM120" s="1">
        <v>0.11</v>
      </c>
      <c r="CN120" s="1">
        <v>63.52</v>
      </c>
      <c r="CO120" s="1">
        <v>0.1</v>
      </c>
      <c r="CP120" s="1">
        <v>64.73</v>
      </c>
      <c r="CQ120" s="1">
        <v>0.33</v>
      </c>
      <c r="CR120" s="1">
        <v>78.73</v>
      </c>
      <c r="CS120" s="1">
        <v>15</v>
      </c>
      <c r="CT120" s="1">
        <v>16</v>
      </c>
      <c r="CU120" s="1">
        <v>36</v>
      </c>
      <c r="CV120" s="1">
        <v>26</v>
      </c>
      <c r="CW120" s="1">
        <v>21</v>
      </c>
      <c r="CX120" s="1">
        <v>21</v>
      </c>
      <c r="CY120" s="1">
        <v>37</v>
      </c>
      <c r="CZ120" s="1">
        <v>9</v>
      </c>
      <c r="DA120" s="1">
        <v>1</v>
      </c>
    </row>
    <row r="121" spans="1:105" x14ac:dyDescent="0.15">
      <c r="A121" s="1" t="s">
        <v>137</v>
      </c>
      <c r="B121" s="1" t="s">
        <v>501</v>
      </c>
      <c r="C121" s="1">
        <v>1</v>
      </c>
      <c r="D121" s="1">
        <v>13</v>
      </c>
      <c r="E121" s="1">
        <v>33</v>
      </c>
      <c r="F121" s="1">
        <v>100</v>
      </c>
      <c r="G121" s="1">
        <v>105</v>
      </c>
      <c r="H121" s="1">
        <v>-5</v>
      </c>
      <c r="I121" s="1">
        <v>65</v>
      </c>
      <c r="J121" s="1">
        <v>59</v>
      </c>
      <c r="K121" s="1">
        <v>42</v>
      </c>
      <c r="L121" s="1">
        <v>61</v>
      </c>
      <c r="M121" s="1">
        <v>120</v>
      </c>
      <c r="N121" s="1">
        <v>116</v>
      </c>
      <c r="O121" s="1">
        <v>43</v>
      </c>
      <c r="P121" s="1">
        <v>50</v>
      </c>
      <c r="Q121" s="1">
        <v>33</v>
      </c>
      <c r="R121" s="1">
        <v>66</v>
      </c>
      <c r="S121" s="1">
        <v>116</v>
      </c>
      <c r="T121" s="1">
        <v>112</v>
      </c>
      <c r="U121" s="1">
        <v>236</v>
      </c>
      <c r="V121" s="1">
        <v>116</v>
      </c>
      <c r="W121" s="1">
        <v>120</v>
      </c>
      <c r="X121" s="1">
        <v>39</v>
      </c>
      <c r="Y121" s="1">
        <v>3</v>
      </c>
      <c r="Z121" s="1">
        <v>36</v>
      </c>
      <c r="AA121" s="1">
        <v>11</v>
      </c>
      <c r="AB121" s="1">
        <v>120</v>
      </c>
      <c r="AC121" s="1">
        <v>39</v>
      </c>
      <c r="AD121" s="1">
        <v>9</v>
      </c>
      <c r="AE121" s="1">
        <v>20</v>
      </c>
      <c r="AF121" s="1">
        <v>100</v>
      </c>
      <c r="AG121" s="1">
        <v>16</v>
      </c>
      <c r="AH121" s="1">
        <v>62</v>
      </c>
      <c r="AI121" s="1">
        <v>62</v>
      </c>
      <c r="AJ121" s="1">
        <v>51</v>
      </c>
      <c r="AK121" s="1">
        <v>8</v>
      </c>
      <c r="AL121" s="1">
        <v>11</v>
      </c>
      <c r="AM121" s="1">
        <v>12</v>
      </c>
      <c r="AN121" s="1">
        <v>31</v>
      </c>
      <c r="AO121" s="1">
        <v>56</v>
      </c>
      <c r="AP121" s="1">
        <v>11</v>
      </c>
      <c r="AQ121" s="1">
        <v>51</v>
      </c>
      <c r="AR121" s="1">
        <v>12</v>
      </c>
      <c r="AS121" s="1">
        <v>58</v>
      </c>
      <c r="AT121" s="1">
        <v>21</v>
      </c>
      <c r="AU121" s="1">
        <v>60</v>
      </c>
      <c r="AV121" s="1">
        <v>13</v>
      </c>
      <c r="AW121" s="1">
        <v>38</v>
      </c>
      <c r="AX121" s="1">
        <v>25</v>
      </c>
      <c r="AY121" s="1">
        <v>56</v>
      </c>
      <c r="AZ121" s="1">
        <v>5</v>
      </c>
      <c r="BA121" s="1">
        <v>10</v>
      </c>
      <c r="BB121" s="1">
        <v>9</v>
      </c>
      <c r="BC121" s="1">
        <v>24</v>
      </c>
      <c r="BD121" s="1">
        <v>42</v>
      </c>
      <c r="BE121" s="1">
        <v>7</v>
      </c>
      <c r="BF121" s="1">
        <v>28</v>
      </c>
      <c r="BG121" s="1">
        <v>10</v>
      </c>
      <c r="BH121" s="1">
        <v>12</v>
      </c>
      <c r="BI121" s="1">
        <v>18</v>
      </c>
      <c r="BJ121" s="1">
        <v>40</v>
      </c>
      <c r="BK121" s="1">
        <v>39</v>
      </c>
      <c r="BL121" s="1">
        <v>24</v>
      </c>
      <c r="BM121" s="1">
        <v>50</v>
      </c>
      <c r="BN121" s="1">
        <v>102</v>
      </c>
      <c r="BO121" s="1">
        <v>58</v>
      </c>
      <c r="BP121" s="1">
        <v>4.24</v>
      </c>
      <c r="BQ121" s="1">
        <v>2.27</v>
      </c>
      <c r="BR121" s="1">
        <v>0.61</v>
      </c>
      <c r="BS121" s="1">
        <v>2.37</v>
      </c>
      <c r="BT121" s="1">
        <v>38</v>
      </c>
      <c r="BU121" s="1">
        <v>7</v>
      </c>
      <c r="BV121" s="1">
        <v>61.95</v>
      </c>
      <c r="BW121" s="1">
        <v>13</v>
      </c>
      <c r="BX121" s="1">
        <v>48.31</v>
      </c>
      <c r="BY121" s="1">
        <v>516.12</v>
      </c>
      <c r="BZ121" s="1">
        <v>68.8</v>
      </c>
      <c r="CA121" s="1">
        <v>14.42</v>
      </c>
      <c r="CB121" s="1">
        <v>80.02</v>
      </c>
      <c r="CC121" s="1">
        <v>22.29</v>
      </c>
      <c r="CD121" s="1">
        <v>71.14</v>
      </c>
      <c r="CE121" s="1">
        <v>0.53</v>
      </c>
      <c r="CF121" s="1">
        <v>52.65</v>
      </c>
      <c r="CG121" s="1">
        <v>2.06</v>
      </c>
      <c r="CH121" s="1">
        <v>64.290000000000006</v>
      </c>
      <c r="CI121" s="1">
        <v>3</v>
      </c>
      <c r="CJ121" s="1">
        <v>63.66</v>
      </c>
      <c r="CK121" s="1">
        <v>-0.04</v>
      </c>
      <c r="CL121" s="1">
        <v>36.369999999999997</v>
      </c>
      <c r="CM121" s="1">
        <v>-0.12</v>
      </c>
      <c r="CN121" s="1">
        <v>34.36</v>
      </c>
      <c r="CO121" s="1">
        <v>0.2</v>
      </c>
      <c r="CP121" s="1">
        <v>95.84</v>
      </c>
      <c r="CQ121" s="1">
        <v>0.33</v>
      </c>
      <c r="CR121" s="1">
        <v>78.36</v>
      </c>
      <c r="CS121" s="1">
        <v>56</v>
      </c>
      <c r="CT121" s="1">
        <v>38</v>
      </c>
      <c r="CU121" s="1">
        <v>49</v>
      </c>
      <c r="CV121" s="1">
        <v>56</v>
      </c>
      <c r="CW121" s="1">
        <v>42</v>
      </c>
      <c r="CX121" s="1">
        <v>56</v>
      </c>
      <c r="CY121" s="1">
        <v>58</v>
      </c>
      <c r="CZ121" s="1">
        <v>51</v>
      </c>
      <c r="DA121" s="1">
        <v>1</v>
      </c>
    </row>
    <row r="122" spans="1:105" x14ac:dyDescent="0.15">
      <c r="A122" s="1" t="s">
        <v>141</v>
      </c>
      <c r="B122" s="1" t="s">
        <v>502</v>
      </c>
      <c r="C122" s="1">
        <v>1</v>
      </c>
      <c r="D122" s="1">
        <v>13</v>
      </c>
      <c r="E122" s="1">
        <v>43</v>
      </c>
      <c r="F122" s="1">
        <v>117</v>
      </c>
      <c r="G122" s="1">
        <v>105</v>
      </c>
      <c r="H122" s="1">
        <v>12</v>
      </c>
      <c r="I122" s="1">
        <v>67</v>
      </c>
      <c r="J122" s="1">
        <v>64</v>
      </c>
      <c r="K122" s="1">
        <v>44</v>
      </c>
      <c r="L122" s="1">
        <v>66</v>
      </c>
      <c r="M122" s="1">
        <v>130</v>
      </c>
      <c r="N122" s="1">
        <v>126</v>
      </c>
      <c r="O122" s="1">
        <v>61</v>
      </c>
      <c r="P122" s="1">
        <v>62</v>
      </c>
      <c r="Q122" s="1">
        <v>25</v>
      </c>
      <c r="R122" s="1">
        <v>49</v>
      </c>
      <c r="S122" s="1">
        <v>111</v>
      </c>
      <c r="T122" s="1">
        <v>108</v>
      </c>
      <c r="U122" s="1">
        <v>241</v>
      </c>
      <c r="V122" s="1">
        <v>119</v>
      </c>
      <c r="W122" s="1">
        <v>120</v>
      </c>
      <c r="X122" s="1">
        <v>44</v>
      </c>
      <c r="Y122" s="1">
        <v>0</v>
      </c>
      <c r="Z122" s="1">
        <v>44</v>
      </c>
      <c r="AA122" s="1">
        <v>14</v>
      </c>
      <c r="AB122" s="1">
        <v>120</v>
      </c>
      <c r="AC122" s="1">
        <v>79</v>
      </c>
      <c r="AD122" s="1">
        <v>11</v>
      </c>
      <c r="AE122" s="1">
        <v>25</v>
      </c>
      <c r="AF122" s="1">
        <v>114</v>
      </c>
      <c r="AG122" s="1">
        <v>32</v>
      </c>
      <c r="AH122" s="1">
        <v>38</v>
      </c>
      <c r="AI122" s="1">
        <v>60</v>
      </c>
      <c r="AJ122" s="1">
        <v>47</v>
      </c>
      <c r="AK122" s="1">
        <v>7</v>
      </c>
      <c r="AL122" s="1">
        <v>11</v>
      </c>
      <c r="AM122" s="1">
        <v>11</v>
      </c>
      <c r="AN122" s="1">
        <v>29</v>
      </c>
      <c r="AO122" s="1">
        <v>51</v>
      </c>
      <c r="AP122" s="1">
        <v>8</v>
      </c>
      <c r="AQ122" s="1">
        <v>34</v>
      </c>
      <c r="AR122" s="1">
        <v>9</v>
      </c>
      <c r="AS122" s="1">
        <v>36</v>
      </c>
      <c r="AT122" s="1">
        <v>17</v>
      </c>
      <c r="AU122" s="1">
        <v>45</v>
      </c>
      <c r="AV122" s="1">
        <v>11</v>
      </c>
      <c r="AW122" s="1">
        <v>32</v>
      </c>
      <c r="AX122" s="1">
        <v>26</v>
      </c>
      <c r="AY122" s="1">
        <v>58</v>
      </c>
      <c r="AZ122" s="1">
        <v>5</v>
      </c>
      <c r="BA122" s="1">
        <v>9</v>
      </c>
      <c r="BB122" s="1">
        <v>11</v>
      </c>
      <c r="BC122" s="1">
        <v>25</v>
      </c>
      <c r="BD122" s="1">
        <v>42</v>
      </c>
      <c r="BE122" s="1">
        <v>10</v>
      </c>
      <c r="BF122" s="1">
        <v>45</v>
      </c>
      <c r="BG122" s="1">
        <v>18</v>
      </c>
      <c r="BH122" s="1">
        <v>16</v>
      </c>
      <c r="BI122" s="1">
        <v>20</v>
      </c>
      <c r="BJ122" s="1">
        <v>54</v>
      </c>
      <c r="BK122" s="1">
        <v>51</v>
      </c>
      <c r="BL122" s="1">
        <v>29</v>
      </c>
      <c r="BM122" s="1">
        <v>59</v>
      </c>
      <c r="BN122" s="1">
        <v>81</v>
      </c>
      <c r="BO122" s="1">
        <v>34</v>
      </c>
      <c r="BP122" s="1">
        <v>3.62</v>
      </c>
      <c r="BQ122" s="1">
        <v>3.4</v>
      </c>
      <c r="BR122" s="1">
        <v>1.84</v>
      </c>
      <c r="BS122" s="1">
        <v>2.95</v>
      </c>
      <c r="BT122" s="1">
        <v>47</v>
      </c>
      <c r="BU122" s="1">
        <v>7</v>
      </c>
      <c r="BV122" s="1">
        <v>61.95</v>
      </c>
      <c r="BW122" s="1">
        <v>9</v>
      </c>
      <c r="BX122" s="1">
        <v>43.17</v>
      </c>
      <c r="BY122" s="1">
        <v>342.88</v>
      </c>
      <c r="BZ122" s="1">
        <v>43.96</v>
      </c>
      <c r="CA122" s="1">
        <v>6.22</v>
      </c>
      <c r="CB122" s="1">
        <v>54.88</v>
      </c>
      <c r="CC122" s="1">
        <v>10.38</v>
      </c>
      <c r="CD122" s="1">
        <v>57.16</v>
      </c>
      <c r="CE122" s="1">
        <v>0.86</v>
      </c>
      <c r="CF122" s="1">
        <v>45.44</v>
      </c>
      <c r="CG122" s="1">
        <v>0</v>
      </c>
      <c r="CH122" s="1">
        <v>41.83</v>
      </c>
      <c r="CI122" s="1">
        <v>4</v>
      </c>
      <c r="CJ122" s="1">
        <v>70.03</v>
      </c>
      <c r="CK122" s="1">
        <v>-0.02</v>
      </c>
      <c r="CL122" s="1">
        <v>42.74</v>
      </c>
      <c r="CM122" s="1">
        <v>0.03</v>
      </c>
      <c r="CN122" s="1">
        <v>52.76</v>
      </c>
      <c r="CO122" s="1">
        <v>7.0000000000000007E-2</v>
      </c>
      <c r="CP122" s="1">
        <v>55.7</v>
      </c>
      <c r="CQ122" s="1">
        <v>0.11</v>
      </c>
      <c r="CR122" s="1">
        <v>58.83</v>
      </c>
      <c r="CS122" s="1">
        <v>47</v>
      </c>
      <c r="CT122" s="1">
        <v>47</v>
      </c>
      <c r="CU122" s="1">
        <v>36</v>
      </c>
      <c r="CV122" s="1">
        <v>51</v>
      </c>
      <c r="CW122" s="1">
        <v>42</v>
      </c>
      <c r="CX122" s="1">
        <v>58</v>
      </c>
      <c r="CY122" s="1">
        <v>34</v>
      </c>
      <c r="CZ122" s="1">
        <v>42</v>
      </c>
      <c r="DA122" s="1">
        <v>1</v>
      </c>
    </row>
    <row r="123" spans="1:105" x14ac:dyDescent="0.15">
      <c r="A123" s="1" t="s">
        <v>143</v>
      </c>
      <c r="B123" s="1" t="s">
        <v>503</v>
      </c>
      <c r="C123" s="1">
        <v>1</v>
      </c>
      <c r="D123" s="1">
        <v>12</v>
      </c>
      <c r="E123" s="1">
        <v>40</v>
      </c>
      <c r="F123" s="1">
        <v>113</v>
      </c>
      <c r="G123" s="1">
        <v>99</v>
      </c>
      <c r="H123" s="1">
        <v>14</v>
      </c>
      <c r="I123" s="1">
        <v>58</v>
      </c>
      <c r="J123" s="1">
        <v>55</v>
      </c>
      <c r="K123" s="1">
        <v>44</v>
      </c>
      <c r="L123" s="1">
        <v>66</v>
      </c>
      <c r="M123" s="1">
        <v>121</v>
      </c>
      <c r="N123" s="1">
        <v>117</v>
      </c>
      <c r="O123" s="1">
        <v>62</v>
      </c>
      <c r="P123" s="1">
        <v>62</v>
      </c>
      <c r="Q123" s="1">
        <v>30</v>
      </c>
      <c r="R123" s="1">
        <v>57</v>
      </c>
      <c r="S123" s="1">
        <v>119</v>
      </c>
      <c r="T123" s="1">
        <v>116</v>
      </c>
      <c r="U123" s="1">
        <v>240</v>
      </c>
      <c r="V123" s="1">
        <v>118</v>
      </c>
      <c r="W123" s="1">
        <v>120</v>
      </c>
      <c r="X123" s="1">
        <v>26</v>
      </c>
      <c r="Y123" s="1">
        <v>2</v>
      </c>
      <c r="Z123" s="1">
        <v>24</v>
      </c>
      <c r="AA123" s="1">
        <v>7</v>
      </c>
      <c r="AB123" s="1">
        <v>120</v>
      </c>
      <c r="AC123" s="1">
        <v>81</v>
      </c>
      <c r="AD123" s="1">
        <v>12</v>
      </c>
      <c r="AE123" s="1">
        <v>19</v>
      </c>
      <c r="AF123" s="1">
        <v>97</v>
      </c>
      <c r="AG123" s="1">
        <v>32</v>
      </c>
      <c r="AH123" s="1">
        <v>37</v>
      </c>
      <c r="AI123" s="1">
        <v>57</v>
      </c>
      <c r="AJ123" s="1">
        <v>42</v>
      </c>
      <c r="AK123" s="1">
        <v>5</v>
      </c>
      <c r="AL123" s="1">
        <v>7</v>
      </c>
      <c r="AM123" s="1">
        <v>10</v>
      </c>
      <c r="AN123" s="1">
        <v>22</v>
      </c>
      <c r="AO123" s="1">
        <v>37</v>
      </c>
      <c r="AP123" s="1">
        <v>9</v>
      </c>
      <c r="AQ123" s="1">
        <v>42</v>
      </c>
      <c r="AR123" s="1">
        <v>11</v>
      </c>
      <c r="AS123" s="1">
        <v>43</v>
      </c>
      <c r="AT123" s="1">
        <v>15</v>
      </c>
      <c r="AU123" s="1">
        <v>39</v>
      </c>
      <c r="AV123" s="1">
        <v>13</v>
      </c>
      <c r="AW123" s="1">
        <v>37</v>
      </c>
      <c r="AX123" s="1">
        <v>15</v>
      </c>
      <c r="AY123" s="1">
        <v>30</v>
      </c>
      <c r="AZ123" s="1">
        <v>8</v>
      </c>
      <c r="BA123" s="1">
        <v>12</v>
      </c>
      <c r="BB123" s="1">
        <v>12</v>
      </c>
      <c r="BC123" s="1">
        <v>32</v>
      </c>
      <c r="BD123" s="1">
        <v>52</v>
      </c>
      <c r="BE123" s="1">
        <v>11</v>
      </c>
      <c r="BF123" s="1">
        <v>52</v>
      </c>
      <c r="BG123" s="1">
        <v>7</v>
      </c>
      <c r="BH123" s="1">
        <v>8</v>
      </c>
      <c r="BI123" s="1">
        <v>3</v>
      </c>
      <c r="BJ123" s="1">
        <v>18</v>
      </c>
      <c r="BK123" s="1">
        <v>25</v>
      </c>
      <c r="BL123" s="1">
        <v>11</v>
      </c>
      <c r="BM123" s="1">
        <v>25</v>
      </c>
      <c r="BN123" s="1">
        <v>94</v>
      </c>
      <c r="BO123" s="1">
        <v>50</v>
      </c>
      <c r="BP123" s="1">
        <v>3.62</v>
      </c>
      <c r="BQ123" s="1">
        <v>2.34</v>
      </c>
      <c r="BR123" s="1">
        <v>0.65</v>
      </c>
      <c r="BS123" s="1">
        <v>2.2000000000000002</v>
      </c>
      <c r="BT123" s="1">
        <v>35</v>
      </c>
      <c r="BU123" s="1">
        <v>1</v>
      </c>
      <c r="BV123" s="1">
        <v>43.87</v>
      </c>
      <c r="BW123" s="1">
        <v>17</v>
      </c>
      <c r="BX123" s="1">
        <v>53.45</v>
      </c>
      <c r="BY123" s="1">
        <v>327.5</v>
      </c>
      <c r="BZ123" s="1">
        <v>41.17</v>
      </c>
      <c r="CA123" s="1">
        <v>4.47</v>
      </c>
      <c r="CB123" s="1">
        <v>44.97</v>
      </c>
      <c r="CC123" s="1">
        <v>9.32</v>
      </c>
      <c r="CD123" s="1">
        <v>55.18</v>
      </c>
      <c r="CE123" s="1">
        <v>0.34</v>
      </c>
      <c r="CF123" s="1">
        <v>56.75</v>
      </c>
      <c r="CG123" s="1">
        <v>0.31</v>
      </c>
      <c r="CH123" s="1">
        <v>45.17</v>
      </c>
      <c r="CI123" s="1">
        <v>0</v>
      </c>
      <c r="CJ123" s="1">
        <v>44.54</v>
      </c>
      <c r="CK123" s="1">
        <v>0.01</v>
      </c>
      <c r="CL123" s="1">
        <v>53.2</v>
      </c>
      <c r="CM123" s="1">
        <v>0.06</v>
      </c>
      <c r="CN123" s="1">
        <v>57.43</v>
      </c>
      <c r="CO123" s="1">
        <v>0.04</v>
      </c>
      <c r="CP123" s="1">
        <v>44.67</v>
      </c>
      <c r="CQ123" s="1">
        <v>0.11</v>
      </c>
      <c r="CR123" s="1">
        <v>58.2</v>
      </c>
      <c r="CS123" s="1">
        <v>30</v>
      </c>
      <c r="CT123" s="1">
        <v>35</v>
      </c>
      <c r="CU123" s="1">
        <v>35</v>
      </c>
      <c r="CV123" s="1">
        <v>37</v>
      </c>
      <c r="CW123" s="1">
        <v>52</v>
      </c>
      <c r="CX123" s="1">
        <v>30</v>
      </c>
      <c r="CY123" s="1">
        <v>50</v>
      </c>
      <c r="CZ123" s="1">
        <v>31</v>
      </c>
      <c r="DA123" s="1">
        <v>1</v>
      </c>
    </row>
    <row r="124" spans="1:105" x14ac:dyDescent="0.15">
      <c r="A124" s="1" t="s">
        <v>145</v>
      </c>
      <c r="B124" s="1" t="s">
        <v>504</v>
      </c>
      <c r="C124" s="1">
        <v>3</v>
      </c>
      <c r="D124" s="1">
        <v>13</v>
      </c>
      <c r="E124" s="1">
        <v>36</v>
      </c>
      <c r="F124" s="1">
        <v>105</v>
      </c>
      <c r="G124" s="1">
        <v>102</v>
      </c>
      <c r="H124" s="1">
        <v>3</v>
      </c>
      <c r="I124" s="1">
        <v>55</v>
      </c>
      <c r="J124" s="1">
        <v>49</v>
      </c>
      <c r="K124" s="1">
        <v>38</v>
      </c>
      <c r="L124" s="1">
        <v>55</v>
      </c>
      <c r="M124" s="1">
        <v>104</v>
      </c>
      <c r="N124" s="1">
        <v>103</v>
      </c>
      <c r="O124" s="1">
        <v>63</v>
      </c>
      <c r="P124" s="1">
        <v>63</v>
      </c>
      <c r="Q124" s="1">
        <v>29</v>
      </c>
      <c r="R124" s="1">
        <v>57</v>
      </c>
      <c r="S124" s="1">
        <v>120</v>
      </c>
      <c r="T124" s="1">
        <v>117</v>
      </c>
      <c r="U124" s="1">
        <v>224</v>
      </c>
      <c r="V124" s="1">
        <v>110</v>
      </c>
      <c r="W124" s="1">
        <v>120</v>
      </c>
      <c r="X124" s="1">
        <v>32</v>
      </c>
      <c r="Y124" s="1">
        <v>0</v>
      </c>
      <c r="Z124" s="1">
        <v>32</v>
      </c>
      <c r="AA124" s="1">
        <v>9</v>
      </c>
      <c r="AB124" s="1">
        <v>120</v>
      </c>
      <c r="AC124" s="1">
        <v>55</v>
      </c>
      <c r="AD124" s="1">
        <v>7</v>
      </c>
      <c r="AE124" s="1">
        <v>16</v>
      </c>
      <c r="AF124" s="1">
        <v>89</v>
      </c>
      <c r="AG124" s="1">
        <v>24</v>
      </c>
      <c r="AH124" s="1">
        <v>47</v>
      </c>
      <c r="AI124" s="1">
        <v>57</v>
      </c>
      <c r="AJ124" s="1">
        <v>44</v>
      </c>
      <c r="AK124" s="1">
        <v>5</v>
      </c>
      <c r="AL124" s="1">
        <v>8</v>
      </c>
      <c r="AM124" s="1">
        <v>12</v>
      </c>
      <c r="AN124" s="1">
        <v>25</v>
      </c>
      <c r="AO124" s="1">
        <v>42</v>
      </c>
      <c r="AP124" s="1">
        <v>9</v>
      </c>
      <c r="AQ124" s="1">
        <v>40</v>
      </c>
      <c r="AR124" s="1">
        <v>10</v>
      </c>
      <c r="AS124" s="1">
        <v>44</v>
      </c>
      <c r="AT124" s="1">
        <v>17</v>
      </c>
      <c r="AU124" s="1">
        <v>45</v>
      </c>
      <c r="AV124" s="1">
        <v>16</v>
      </c>
      <c r="AW124" s="1">
        <v>47</v>
      </c>
      <c r="AX124" s="1">
        <v>24</v>
      </c>
      <c r="AY124" s="1">
        <v>50</v>
      </c>
      <c r="AZ124" s="1">
        <v>7</v>
      </c>
      <c r="BA124" s="1">
        <v>12</v>
      </c>
      <c r="BB124" s="1">
        <v>12</v>
      </c>
      <c r="BC124" s="1">
        <v>31</v>
      </c>
      <c r="BD124" s="1">
        <v>52</v>
      </c>
      <c r="BE124" s="1">
        <v>12</v>
      </c>
      <c r="BF124" s="1">
        <v>60</v>
      </c>
      <c r="BG124" s="1">
        <v>13</v>
      </c>
      <c r="BH124" s="1">
        <v>8</v>
      </c>
      <c r="BI124" s="1">
        <v>16</v>
      </c>
      <c r="BJ124" s="1">
        <v>37</v>
      </c>
      <c r="BK124" s="1">
        <v>39</v>
      </c>
      <c r="BL124" s="1">
        <v>22</v>
      </c>
      <c r="BM124" s="1">
        <v>46</v>
      </c>
      <c r="BN124" s="1">
        <v>109</v>
      </c>
      <c r="BO124" s="1">
        <v>66</v>
      </c>
      <c r="BP124" s="1">
        <v>4.24</v>
      </c>
      <c r="BQ124" s="1">
        <v>2.96</v>
      </c>
      <c r="BR124" s="1">
        <v>1.9300000000000002</v>
      </c>
      <c r="BS124" s="1">
        <v>3.04</v>
      </c>
      <c r="BT124" s="1">
        <v>48</v>
      </c>
      <c r="BU124" s="1">
        <v>1</v>
      </c>
      <c r="BV124" s="1">
        <v>43.87</v>
      </c>
      <c r="BW124" s="1">
        <v>7</v>
      </c>
      <c r="BX124" s="1">
        <v>40.6</v>
      </c>
      <c r="BY124" s="1">
        <v>489.43</v>
      </c>
      <c r="BZ124" s="1">
        <v>65.58</v>
      </c>
      <c r="CA124" s="1">
        <v>10.85</v>
      </c>
      <c r="CB124" s="1">
        <v>71.52</v>
      </c>
      <c r="CC124" s="1">
        <v>12.65</v>
      </c>
      <c r="CD124" s="1">
        <v>60.78</v>
      </c>
      <c r="CE124" s="1">
        <v>0.83</v>
      </c>
      <c r="CF124" s="1">
        <v>46.18</v>
      </c>
      <c r="CG124" s="1">
        <v>0.69</v>
      </c>
      <c r="CH124" s="1">
        <v>49.32</v>
      </c>
      <c r="CI124" s="1">
        <v>0</v>
      </c>
      <c r="CJ124" s="1">
        <v>44.54</v>
      </c>
      <c r="CK124" s="1">
        <v>0.09</v>
      </c>
      <c r="CL124" s="1">
        <v>81.08</v>
      </c>
      <c r="CM124" s="1">
        <v>0.21</v>
      </c>
      <c r="CN124" s="1">
        <v>76.55</v>
      </c>
      <c r="CO124" s="1">
        <v>0.09</v>
      </c>
      <c r="CP124" s="1">
        <v>61.13</v>
      </c>
      <c r="CQ124" s="1">
        <v>7.0000000000000007E-2</v>
      </c>
      <c r="CR124" s="1">
        <v>55.19</v>
      </c>
      <c r="CS124" s="1">
        <v>44</v>
      </c>
      <c r="CT124" s="1">
        <v>48</v>
      </c>
      <c r="CU124" s="1">
        <v>45</v>
      </c>
      <c r="CV124" s="1">
        <v>42</v>
      </c>
      <c r="CW124" s="1">
        <v>52</v>
      </c>
      <c r="CX124" s="1">
        <v>50</v>
      </c>
      <c r="CY124" s="1">
        <v>66</v>
      </c>
      <c r="CZ124" s="1">
        <v>49</v>
      </c>
      <c r="DA124" s="1">
        <v>1</v>
      </c>
    </row>
    <row r="125" spans="1:105" x14ac:dyDescent="0.15">
      <c r="A125" s="1" t="s">
        <v>147</v>
      </c>
      <c r="B125" s="1" t="s">
        <v>505</v>
      </c>
      <c r="C125" s="1">
        <v>1</v>
      </c>
      <c r="D125" s="1">
        <v>12</v>
      </c>
      <c r="E125" s="1">
        <v>25</v>
      </c>
      <c r="F125" s="1">
        <v>87</v>
      </c>
      <c r="G125" s="1">
        <v>99</v>
      </c>
      <c r="H125" s="1">
        <v>-12</v>
      </c>
      <c r="I125" s="1">
        <v>52</v>
      </c>
      <c r="J125" s="1">
        <v>43</v>
      </c>
      <c r="K125" s="1">
        <v>34</v>
      </c>
      <c r="L125" s="1">
        <v>49</v>
      </c>
      <c r="M125" s="1">
        <v>92</v>
      </c>
      <c r="N125" s="1">
        <v>94</v>
      </c>
      <c r="O125" s="1">
        <v>21</v>
      </c>
      <c r="P125" s="1">
        <v>41</v>
      </c>
      <c r="Q125" s="1">
        <v>18</v>
      </c>
      <c r="R125" s="1">
        <v>45</v>
      </c>
      <c r="S125" s="1">
        <v>86</v>
      </c>
      <c r="T125" s="1">
        <v>89</v>
      </c>
      <c r="U125" s="1">
        <v>178</v>
      </c>
      <c r="V125" s="1">
        <v>89</v>
      </c>
      <c r="W125" s="1">
        <v>120</v>
      </c>
      <c r="X125" s="1">
        <v>25</v>
      </c>
      <c r="Y125" s="1">
        <v>1</v>
      </c>
      <c r="Z125" s="1">
        <v>24</v>
      </c>
      <c r="AA125" s="1">
        <v>7</v>
      </c>
      <c r="AB125" s="1">
        <v>120</v>
      </c>
      <c r="AC125" s="1">
        <v>72</v>
      </c>
      <c r="AD125" s="1">
        <v>11</v>
      </c>
      <c r="AE125" s="1">
        <v>18</v>
      </c>
      <c r="AF125" s="1">
        <v>94</v>
      </c>
      <c r="AG125" s="1">
        <v>29</v>
      </c>
      <c r="AH125" s="1">
        <v>50</v>
      </c>
      <c r="AI125" s="1">
        <v>53</v>
      </c>
      <c r="AJ125" s="1">
        <v>48</v>
      </c>
      <c r="AK125" s="1">
        <v>7</v>
      </c>
      <c r="AL125" s="1">
        <v>10</v>
      </c>
      <c r="AM125" s="1">
        <v>11</v>
      </c>
      <c r="AN125" s="1">
        <v>28</v>
      </c>
      <c r="AO125" s="1">
        <v>48</v>
      </c>
      <c r="AP125" s="1">
        <v>9</v>
      </c>
      <c r="AQ125" s="1">
        <v>44</v>
      </c>
      <c r="AR125" s="1">
        <v>12</v>
      </c>
      <c r="AS125" s="1">
        <v>57</v>
      </c>
      <c r="AT125" s="1">
        <v>14</v>
      </c>
      <c r="AU125" s="1">
        <v>47</v>
      </c>
      <c r="AV125" s="1">
        <v>15</v>
      </c>
      <c r="AW125" s="1">
        <v>50</v>
      </c>
      <c r="AX125" s="1">
        <v>25</v>
      </c>
      <c r="AY125" s="1">
        <v>69</v>
      </c>
      <c r="AZ125" s="1">
        <v>6</v>
      </c>
      <c r="BA125" s="1">
        <v>9</v>
      </c>
      <c r="BB125" s="1">
        <v>11</v>
      </c>
      <c r="BC125" s="1">
        <v>26</v>
      </c>
      <c r="BD125" s="1">
        <v>56</v>
      </c>
      <c r="BE125" s="1">
        <v>10</v>
      </c>
      <c r="BF125" s="1">
        <v>55</v>
      </c>
      <c r="BG125" s="1">
        <v>24</v>
      </c>
      <c r="BH125" s="1">
        <v>14</v>
      </c>
      <c r="BI125" s="1">
        <v>10</v>
      </c>
      <c r="BJ125" s="1">
        <v>48</v>
      </c>
      <c r="BK125" s="1">
        <v>54</v>
      </c>
      <c r="BL125" s="1">
        <v>24</v>
      </c>
      <c r="BM125" s="1">
        <v>52</v>
      </c>
      <c r="BN125" s="1">
        <v>90</v>
      </c>
      <c r="BO125" s="1">
        <v>40</v>
      </c>
      <c r="BP125" s="1">
        <v>3.62</v>
      </c>
      <c r="BQ125" s="1">
        <v>2.61</v>
      </c>
      <c r="BR125" s="1">
        <v>1.54</v>
      </c>
      <c r="BS125" s="1">
        <v>2.5</v>
      </c>
      <c r="BT125" s="1">
        <v>46</v>
      </c>
      <c r="BU125" s="1">
        <v>1</v>
      </c>
      <c r="BV125" s="1">
        <v>46.64</v>
      </c>
      <c r="BW125" s="1">
        <v>1</v>
      </c>
      <c r="BX125" s="1">
        <v>33.53</v>
      </c>
      <c r="BY125" s="1">
        <v>443.39</v>
      </c>
      <c r="BZ125" s="1">
        <v>57</v>
      </c>
      <c r="CA125" s="1">
        <v>4.1500000000000004</v>
      </c>
      <c r="CB125" s="1">
        <v>42.85</v>
      </c>
      <c r="CC125" s="1">
        <v>3.34</v>
      </c>
      <c r="CD125" s="1">
        <v>38.17</v>
      </c>
      <c r="CE125" s="1">
        <v>1.88</v>
      </c>
      <c r="CF125" s="1">
        <v>24.09</v>
      </c>
      <c r="CG125" s="1">
        <v>2.58</v>
      </c>
      <c r="CH125" s="1">
        <v>71.89</v>
      </c>
      <c r="CI125" s="1">
        <v>0</v>
      </c>
      <c r="CJ125" s="1">
        <v>45.91</v>
      </c>
      <c r="CK125" s="1">
        <v>-0.01</v>
      </c>
      <c r="CL125" s="1">
        <v>43.6</v>
      </c>
      <c r="CM125" s="1">
        <v>-7.0000000000000007E-2</v>
      </c>
      <c r="CN125" s="1">
        <v>44.25</v>
      </c>
      <c r="CO125" s="1">
        <v>0.05</v>
      </c>
      <c r="CP125" s="1">
        <v>51.62</v>
      </c>
      <c r="CQ125" s="1">
        <v>0.08</v>
      </c>
      <c r="CR125" s="1">
        <v>60.2</v>
      </c>
      <c r="CS125" s="1">
        <v>50</v>
      </c>
      <c r="CT125" s="1">
        <v>46</v>
      </c>
      <c r="CU125" s="1">
        <v>48</v>
      </c>
      <c r="CV125" s="1">
        <v>48</v>
      </c>
      <c r="CW125" s="1">
        <v>56</v>
      </c>
      <c r="CX125" s="1">
        <v>69</v>
      </c>
      <c r="CY125" s="1">
        <v>40</v>
      </c>
      <c r="CZ125" s="1">
        <v>51</v>
      </c>
      <c r="DA125" s="1">
        <v>1</v>
      </c>
    </row>
    <row r="126" spans="1:105" x14ac:dyDescent="0.15">
      <c r="A126" s="1" t="s">
        <v>135</v>
      </c>
      <c r="B126" s="1" t="s">
        <v>506</v>
      </c>
      <c r="C126" s="1">
        <v>1</v>
      </c>
      <c r="D126" s="1">
        <v>13</v>
      </c>
      <c r="E126" s="1">
        <v>31</v>
      </c>
      <c r="F126" s="1">
        <v>97</v>
      </c>
      <c r="G126" s="1">
        <v>105</v>
      </c>
      <c r="H126" s="1">
        <v>-8</v>
      </c>
      <c r="I126" s="1">
        <v>58</v>
      </c>
      <c r="J126" s="1">
        <v>55</v>
      </c>
      <c r="K126" s="1">
        <v>41</v>
      </c>
      <c r="L126" s="1">
        <v>60</v>
      </c>
      <c r="M126" s="1">
        <v>115</v>
      </c>
      <c r="N126" s="1">
        <v>111</v>
      </c>
      <c r="O126" s="1">
        <v>62</v>
      </c>
      <c r="P126" s="1">
        <v>62</v>
      </c>
      <c r="Q126" s="1">
        <v>32</v>
      </c>
      <c r="R126" s="1">
        <v>61</v>
      </c>
      <c r="S126" s="1">
        <v>123</v>
      </c>
      <c r="T126" s="1">
        <v>119</v>
      </c>
      <c r="U126" s="1">
        <v>238</v>
      </c>
      <c r="V126" s="1">
        <v>117</v>
      </c>
      <c r="W126" s="1">
        <v>120</v>
      </c>
      <c r="X126" s="1">
        <v>33</v>
      </c>
      <c r="Y126" s="1">
        <v>0</v>
      </c>
      <c r="Z126" s="1">
        <v>33</v>
      </c>
      <c r="AA126" s="1">
        <v>10</v>
      </c>
      <c r="AB126" s="1">
        <v>120</v>
      </c>
      <c r="AC126" s="1">
        <v>78</v>
      </c>
      <c r="AD126" s="1">
        <v>11</v>
      </c>
      <c r="AE126" s="1">
        <v>21</v>
      </c>
      <c r="AF126" s="1">
        <v>102</v>
      </c>
      <c r="AG126" s="1">
        <v>23</v>
      </c>
      <c r="AH126" s="1">
        <v>47</v>
      </c>
      <c r="AI126" s="1">
        <v>53</v>
      </c>
      <c r="AJ126" s="1">
        <v>38</v>
      </c>
      <c r="AK126" s="1">
        <v>4</v>
      </c>
      <c r="AL126" s="1">
        <v>8</v>
      </c>
      <c r="AM126" s="1">
        <v>11</v>
      </c>
      <c r="AN126" s="1">
        <v>23</v>
      </c>
      <c r="AO126" s="1">
        <v>38</v>
      </c>
      <c r="AP126" s="1">
        <v>9</v>
      </c>
      <c r="AQ126" s="1">
        <v>42</v>
      </c>
      <c r="AR126" s="1">
        <v>12</v>
      </c>
      <c r="AS126" s="1">
        <v>56</v>
      </c>
      <c r="AT126" s="1">
        <v>17</v>
      </c>
      <c r="AU126" s="1">
        <v>44</v>
      </c>
      <c r="AV126" s="1">
        <v>14</v>
      </c>
      <c r="AW126" s="1">
        <v>40</v>
      </c>
      <c r="AX126" s="1">
        <v>25</v>
      </c>
      <c r="AY126" s="1">
        <v>52</v>
      </c>
      <c r="AZ126" s="1">
        <v>9</v>
      </c>
      <c r="BA126" s="1">
        <v>10</v>
      </c>
      <c r="BB126" s="1">
        <v>11</v>
      </c>
      <c r="BC126" s="1">
        <v>30</v>
      </c>
      <c r="BD126" s="1">
        <v>48</v>
      </c>
      <c r="BE126" s="1">
        <v>11</v>
      </c>
      <c r="BF126" s="1">
        <v>52</v>
      </c>
      <c r="BG126" s="1">
        <v>16</v>
      </c>
      <c r="BH126" s="1">
        <v>14</v>
      </c>
      <c r="BI126" s="1">
        <v>12</v>
      </c>
      <c r="BJ126" s="1">
        <v>42</v>
      </c>
      <c r="BK126" s="1">
        <v>43</v>
      </c>
      <c r="BL126" s="1">
        <v>21</v>
      </c>
      <c r="BM126" s="1">
        <v>44</v>
      </c>
      <c r="BN126" s="1">
        <v>75</v>
      </c>
      <c r="BO126" s="1">
        <v>28</v>
      </c>
      <c r="BP126" s="1">
        <v>3.96</v>
      </c>
      <c r="BQ126" s="1">
        <v>3.96</v>
      </c>
      <c r="BR126" s="1">
        <v>1.9500000000000002</v>
      </c>
      <c r="BS126" s="1">
        <v>3.29</v>
      </c>
      <c r="BT126" s="1">
        <v>51</v>
      </c>
      <c r="BU126" s="1">
        <v>4</v>
      </c>
      <c r="BV126" s="1">
        <v>52.91</v>
      </c>
      <c r="BW126" s="1">
        <v>15</v>
      </c>
      <c r="BX126" s="1">
        <v>50.88</v>
      </c>
      <c r="BY126" s="1">
        <v>330.49</v>
      </c>
      <c r="BZ126" s="1">
        <v>41.73</v>
      </c>
      <c r="CA126" s="1">
        <v>4.3499999999999996</v>
      </c>
      <c r="CB126" s="1">
        <v>44.22</v>
      </c>
      <c r="CC126" s="1">
        <v>6.18</v>
      </c>
      <c r="CD126" s="1">
        <v>47.67</v>
      </c>
      <c r="CE126" s="1">
        <v>0.67</v>
      </c>
      <c r="CF126" s="1">
        <v>49.65</v>
      </c>
      <c r="CG126" s="1">
        <v>0.43</v>
      </c>
      <c r="CH126" s="1">
        <v>46.51</v>
      </c>
      <c r="CI126" s="1">
        <v>2</v>
      </c>
      <c r="CJ126" s="1">
        <v>57.28</v>
      </c>
      <c r="CK126" s="1">
        <v>-0.01</v>
      </c>
      <c r="CL126" s="1">
        <v>43.99</v>
      </c>
      <c r="CM126" s="1">
        <v>0.02</v>
      </c>
      <c r="CN126" s="1">
        <v>51.87</v>
      </c>
      <c r="CO126" s="1">
        <v>0.04</v>
      </c>
      <c r="CP126" s="1">
        <v>46.88</v>
      </c>
      <c r="CQ126" s="1">
        <v>-0.03</v>
      </c>
      <c r="CR126" s="1">
        <v>46.42</v>
      </c>
      <c r="CS126" s="1">
        <v>41</v>
      </c>
      <c r="CT126" s="1">
        <v>51</v>
      </c>
      <c r="CU126" s="1">
        <v>41</v>
      </c>
      <c r="CV126" s="1">
        <v>38</v>
      </c>
      <c r="CW126" s="1">
        <v>48</v>
      </c>
      <c r="CX126" s="1">
        <v>52</v>
      </c>
      <c r="CY126" s="1">
        <v>28</v>
      </c>
      <c r="CZ126" s="1">
        <v>38</v>
      </c>
      <c r="DA126" s="1">
        <v>1</v>
      </c>
    </row>
    <row r="127" spans="1:105" x14ac:dyDescent="0.15">
      <c r="A127" s="1" t="s">
        <v>149</v>
      </c>
      <c r="B127" s="1" t="s">
        <v>507</v>
      </c>
      <c r="C127" s="1">
        <v>3</v>
      </c>
      <c r="D127" s="1">
        <v>12</v>
      </c>
      <c r="E127" s="1">
        <v>35</v>
      </c>
      <c r="F127" s="1">
        <v>102</v>
      </c>
      <c r="G127" s="1">
        <v>98</v>
      </c>
      <c r="H127" s="1">
        <v>4</v>
      </c>
      <c r="I127" s="1">
        <v>49</v>
      </c>
      <c r="J127" s="1">
        <v>40</v>
      </c>
      <c r="K127" s="1">
        <v>40</v>
      </c>
      <c r="L127" s="1">
        <v>57</v>
      </c>
      <c r="M127" s="1">
        <v>97</v>
      </c>
      <c r="N127" s="1">
        <v>98</v>
      </c>
      <c r="O127" s="1">
        <v>57</v>
      </c>
      <c r="P127" s="1">
        <v>61</v>
      </c>
      <c r="Q127" s="1">
        <v>25</v>
      </c>
      <c r="R127" s="1">
        <v>52</v>
      </c>
      <c r="S127" s="1">
        <v>113</v>
      </c>
      <c r="T127" s="1">
        <v>109</v>
      </c>
      <c r="U127" s="1">
        <v>210</v>
      </c>
      <c r="V127" s="1">
        <v>104</v>
      </c>
      <c r="W127" s="1">
        <v>120</v>
      </c>
      <c r="X127" s="1">
        <v>34</v>
      </c>
      <c r="Y127" s="1">
        <v>0</v>
      </c>
      <c r="Z127" s="1">
        <v>34</v>
      </c>
      <c r="AA127" s="1">
        <v>11</v>
      </c>
      <c r="AB127" s="1">
        <v>120</v>
      </c>
      <c r="AC127" s="1">
        <v>68</v>
      </c>
      <c r="AD127" s="1">
        <v>10</v>
      </c>
      <c r="AE127" s="1">
        <v>21</v>
      </c>
      <c r="AF127" s="1">
        <v>102</v>
      </c>
      <c r="AG127" s="1">
        <v>32</v>
      </c>
      <c r="AH127" s="1">
        <v>44</v>
      </c>
      <c r="AI127" s="1">
        <v>53</v>
      </c>
      <c r="AJ127" s="1">
        <v>48</v>
      </c>
      <c r="AK127" s="1">
        <v>6</v>
      </c>
      <c r="AL127" s="1">
        <v>9</v>
      </c>
      <c r="AM127" s="1">
        <v>10</v>
      </c>
      <c r="AN127" s="1">
        <v>25</v>
      </c>
      <c r="AO127" s="1">
        <v>43</v>
      </c>
      <c r="AP127" s="1">
        <v>6</v>
      </c>
      <c r="AQ127" s="1">
        <v>36</v>
      </c>
      <c r="AR127" s="1">
        <v>11</v>
      </c>
      <c r="AS127" s="1">
        <v>49</v>
      </c>
      <c r="AT127" s="1">
        <v>17</v>
      </c>
      <c r="AU127" s="1">
        <v>50</v>
      </c>
      <c r="AV127" s="1">
        <v>18</v>
      </c>
      <c r="AW127" s="1">
        <v>55</v>
      </c>
      <c r="AX127" s="1">
        <v>22</v>
      </c>
      <c r="AY127" s="1">
        <v>53</v>
      </c>
      <c r="AZ127" s="1">
        <v>4</v>
      </c>
      <c r="BA127" s="1">
        <v>6</v>
      </c>
      <c r="BB127" s="1">
        <v>9</v>
      </c>
      <c r="BC127" s="1">
        <v>19</v>
      </c>
      <c r="BD127" s="1">
        <v>41</v>
      </c>
      <c r="BE127" s="1">
        <v>9</v>
      </c>
      <c r="BF127" s="1">
        <v>48</v>
      </c>
      <c r="BG127" s="1">
        <v>14</v>
      </c>
      <c r="BH127" s="1">
        <v>16</v>
      </c>
      <c r="BI127" s="1">
        <v>14</v>
      </c>
      <c r="BJ127" s="1">
        <v>44</v>
      </c>
      <c r="BK127" s="1">
        <v>48</v>
      </c>
      <c r="BL127" s="1">
        <v>15</v>
      </c>
      <c r="BM127" s="1">
        <v>35</v>
      </c>
      <c r="BN127" s="1">
        <v>91</v>
      </c>
      <c r="BO127" s="1">
        <v>43</v>
      </c>
      <c r="BP127" s="1">
        <v>4.24</v>
      </c>
      <c r="BQ127" s="1">
        <v>4.24</v>
      </c>
      <c r="BR127" s="1">
        <v>2.39</v>
      </c>
      <c r="BS127" s="1">
        <v>3.62</v>
      </c>
      <c r="BT127" s="1">
        <v>59</v>
      </c>
      <c r="BU127" s="1">
        <v>0</v>
      </c>
      <c r="BV127" s="1">
        <v>42.1</v>
      </c>
      <c r="BW127" s="1">
        <v>5</v>
      </c>
      <c r="BX127" s="1">
        <v>39.200000000000003</v>
      </c>
      <c r="BY127" s="1">
        <v>402.96</v>
      </c>
      <c r="BZ127" s="1">
        <v>53.51</v>
      </c>
      <c r="CA127" s="1">
        <v>4.3</v>
      </c>
      <c r="CB127" s="1">
        <v>43.35</v>
      </c>
      <c r="CC127" s="1">
        <v>3.85</v>
      </c>
      <c r="CD127" s="1">
        <v>38.979999999999997</v>
      </c>
      <c r="CE127" s="1">
        <v>1.04</v>
      </c>
      <c r="CF127" s="1">
        <v>43.26</v>
      </c>
      <c r="CG127" s="1">
        <v>0.59</v>
      </c>
      <c r="CH127" s="1">
        <v>48.53</v>
      </c>
      <c r="CI127" s="1">
        <v>0</v>
      </c>
      <c r="CJ127" s="1">
        <v>45.77</v>
      </c>
      <c r="CK127" s="1">
        <v>-0.03</v>
      </c>
      <c r="CL127" s="1">
        <v>37.450000000000003</v>
      </c>
      <c r="CM127" s="1">
        <v>0.01</v>
      </c>
      <c r="CN127" s="1">
        <v>58.84</v>
      </c>
      <c r="CO127" s="1">
        <v>7.0000000000000007E-2</v>
      </c>
      <c r="CP127" s="1">
        <v>59.23</v>
      </c>
      <c r="CQ127" s="1">
        <v>-0.05</v>
      </c>
      <c r="CR127" s="1">
        <v>45.66</v>
      </c>
      <c r="CS127" s="1">
        <v>40</v>
      </c>
      <c r="CT127" s="1">
        <v>59</v>
      </c>
      <c r="CU127" s="1">
        <v>53</v>
      </c>
      <c r="CV127" s="1">
        <v>43</v>
      </c>
      <c r="CW127" s="1">
        <v>41</v>
      </c>
      <c r="CX127" s="1">
        <v>53</v>
      </c>
      <c r="CY127" s="1">
        <v>43</v>
      </c>
      <c r="CZ127" s="1">
        <v>45</v>
      </c>
      <c r="DA127" s="1">
        <v>1</v>
      </c>
    </row>
    <row r="128" spans="1:105" x14ac:dyDescent="0.15">
      <c r="A128" s="1" t="s">
        <v>151</v>
      </c>
      <c r="B128" s="1" t="s">
        <v>508</v>
      </c>
      <c r="C128" s="1">
        <v>3</v>
      </c>
      <c r="D128" s="1">
        <v>12</v>
      </c>
      <c r="E128" s="1">
        <v>32</v>
      </c>
      <c r="F128" s="1">
        <v>98</v>
      </c>
      <c r="G128" s="1">
        <v>98</v>
      </c>
      <c r="H128" s="1">
        <v>0</v>
      </c>
      <c r="I128" s="1">
        <v>53</v>
      </c>
      <c r="J128" s="1">
        <v>44</v>
      </c>
      <c r="K128" s="1">
        <v>29</v>
      </c>
      <c r="L128" s="1">
        <v>39</v>
      </c>
      <c r="M128" s="1">
        <v>83</v>
      </c>
      <c r="N128" s="1">
        <v>87</v>
      </c>
      <c r="O128" s="1">
        <v>47</v>
      </c>
      <c r="P128" s="1">
        <v>55</v>
      </c>
      <c r="Q128" s="1">
        <v>26</v>
      </c>
      <c r="R128" s="1">
        <v>54</v>
      </c>
      <c r="S128" s="1">
        <v>109</v>
      </c>
      <c r="T128" s="1">
        <v>106</v>
      </c>
      <c r="U128" s="1">
        <v>192</v>
      </c>
      <c r="V128" s="1">
        <v>97</v>
      </c>
      <c r="W128" s="1">
        <v>120</v>
      </c>
      <c r="X128" s="1">
        <v>27</v>
      </c>
      <c r="Y128" s="1">
        <v>0</v>
      </c>
      <c r="Z128" s="1">
        <v>27</v>
      </c>
      <c r="AA128" s="1">
        <v>8</v>
      </c>
      <c r="AB128" s="1">
        <v>120</v>
      </c>
      <c r="AC128" s="1">
        <v>62</v>
      </c>
      <c r="AD128" s="1">
        <v>9</v>
      </c>
      <c r="AE128" s="1">
        <v>17</v>
      </c>
      <c r="AF128" s="1">
        <v>92</v>
      </c>
      <c r="AG128" s="1">
        <v>49</v>
      </c>
      <c r="AH128" s="1">
        <v>28</v>
      </c>
      <c r="AI128" s="1">
        <v>44</v>
      </c>
      <c r="AJ128" s="1">
        <v>36</v>
      </c>
      <c r="AK128" s="1">
        <v>3</v>
      </c>
      <c r="AL128" s="1">
        <v>8</v>
      </c>
      <c r="AM128" s="1">
        <v>8</v>
      </c>
      <c r="AN128" s="1">
        <v>19</v>
      </c>
      <c r="AO128" s="1">
        <v>34</v>
      </c>
      <c r="AP128" s="1">
        <v>8</v>
      </c>
      <c r="AQ128" s="1">
        <v>40</v>
      </c>
      <c r="AR128" s="1">
        <v>9</v>
      </c>
      <c r="AS128" s="1">
        <v>30</v>
      </c>
      <c r="AT128" s="1">
        <v>14</v>
      </c>
      <c r="AU128" s="1">
        <v>39</v>
      </c>
      <c r="AV128" s="1">
        <v>10</v>
      </c>
      <c r="AW128" s="1">
        <v>31</v>
      </c>
      <c r="AX128" s="1">
        <v>16</v>
      </c>
      <c r="AY128" s="1">
        <v>39</v>
      </c>
      <c r="AZ128" s="1">
        <v>4</v>
      </c>
      <c r="BA128" s="1">
        <v>8</v>
      </c>
      <c r="BB128" s="1">
        <v>11</v>
      </c>
      <c r="BC128" s="1">
        <v>23</v>
      </c>
      <c r="BD128" s="1">
        <v>45</v>
      </c>
      <c r="BE128" s="1">
        <v>10</v>
      </c>
      <c r="BF128" s="1">
        <v>51</v>
      </c>
      <c r="BG128" s="1">
        <v>20</v>
      </c>
      <c r="BH128" s="1">
        <v>15</v>
      </c>
      <c r="BI128" s="1">
        <v>17</v>
      </c>
      <c r="BJ128" s="1">
        <v>52</v>
      </c>
      <c r="BK128" s="1">
        <v>48</v>
      </c>
      <c r="BL128" s="1">
        <v>26</v>
      </c>
      <c r="BM128" s="1">
        <v>54</v>
      </c>
      <c r="BN128" s="1">
        <v>79</v>
      </c>
      <c r="BO128" s="1">
        <v>30</v>
      </c>
      <c r="BP128" s="1">
        <v>3.23</v>
      </c>
      <c r="BQ128" s="1">
        <v>2.78</v>
      </c>
      <c r="BR128" s="1">
        <v>0.79</v>
      </c>
      <c r="BS128" s="1">
        <v>2.27</v>
      </c>
      <c r="BT128" s="1">
        <v>38</v>
      </c>
      <c r="BU128" s="1">
        <v>1</v>
      </c>
      <c r="BV128" s="1">
        <v>45.43</v>
      </c>
      <c r="BW128" s="1">
        <v>13</v>
      </c>
      <c r="BX128" s="1">
        <v>48.52</v>
      </c>
      <c r="BY128" s="1">
        <v>357.82</v>
      </c>
      <c r="BZ128" s="1">
        <v>44.12</v>
      </c>
      <c r="CA128" s="1">
        <v>4.3899999999999997</v>
      </c>
      <c r="CB128" s="1">
        <v>44.22</v>
      </c>
      <c r="CC128" s="1">
        <v>5.95</v>
      </c>
      <c r="CD128" s="1">
        <v>50.05</v>
      </c>
      <c r="CE128" s="1">
        <v>0.52</v>
      </c>
      <c r="CF128" s="1">
        <v>53.57</v>
      </c>
      <c r="CG128" s="1">
        <v>0</v>
      </c>
      <c r="CH128" s="1">
        <v>44.32</v>
      </c>
      <c r="CI128" s="1">
        <v>0</v>
      </c>
      <c r="CJ128" s="1">
        <v>45.77</v>
      </c>
      <c r="CK128" s="1">
        <v>0</v>
      </c>
      <c r="CL128" s="1">
        <v>49</v>
      </c>
      <c r="CM128" s="1">
        <v>0.1</v>
      </c>
      <c r="CN128" s="1">
        <v>75.59</v>
      </c>
      <c r="CO128" s="1">
        <v>0.02</v>
      </c>
      <c r="CP128" s="1">
        <v>39.979999999999997</v>
      </c>
      <c r="CQ128" s="1">
        <v>0.02</v>
      </c>
      <c r="CR128" s="1">
        <v>52.53</v>
      </c>
      <c r="CS128" s="1">
        <v>36</v>
      </c>
      <c r="CT128" s="1">
        <v>38</v>
      </c>
      <c r="CU128" s="1">
        <v>32</v>
      </c>
      <c r="CV128" s="1">
        <v>34</v>
      </c>
      <c r="CW128" s="1">
        <v>45</v>
      </c>
      <c r="CX128" s="1">
        <v>39</v>
      </c>
      <c r="CY128" s="1">
        <v>30</v>
      </c>
      <c r="CZ128" s="1">
        <v>28</v>
      </c>
      <c r="DA128" s="1">
        <v>1</v>
      </c>
    </row>
    <row r="129" spans="1:105" x14ac:dyDescent="0.15">
      <c r="A129" s="1" t="s">
        <v>155</v>
      </c>
      <c r="B129" s="1" t="s">
        <v>509</v>
      </c>
      <c r="C129" s="1">
        <v>3</v>
      </c>
      <c r="D129" s="1">
        <v>13</v>
      </c>
      <c r="E129" s="1">
        <v>39</v>
      </c>
      <c r="F129" s="1">
        <v>108</v>
      </c>
      <c r="G129" s="1">
        <v>102</v>
      </c>
      <c r="H129" s="1">
        <v>6</v>
      </c>
      <c r="I129" s="1">
        <v>66</v>
      </c>
      <c r="J129" s="1">
        <v>58</v>
      </c>
      <c r="K129" s="1">
        <v>40</v>
      </c>
      <c r="L129" s="1">
        <v>58</v>
      </c>
      <c r="M129" s="1">
        <v>116</v>
      </c>
      <c r="N129" s="1">
        <v>112</v>
      </c>
      <c r="O129" s="1">
        <v>39</v>
      </c>
      <c r="P129" s="1">
        <v>51</v>
      </c>
      <c r="Q129" s="1">
        <v>16</v>
      </c>
      <c r="R129" s="1">
        <v>42</v>
      </c>
      <c r="S129" s="1">
        <v>91</v>
      </c>
      <c r="T129" s="1">
        <v>93</v>
      </c>
      <c r="U129" s="1">
        <v>207</v>
      </c>
      <c r="V129" s="1">
        <v>103</v>
      </c>
      <c r="W129" s="1">
        <v>120</v>
      </c>
      <c r="X129" s="1">
        <v>25</v>
      </c>
      <c r="Y129" s="1">
        <v>2</v>
      </c>
      <c r="Z129" s="1">
        <v>23</v>
      </c>
      <c r="AA129" s="1">
        <v>7</v>
      </c>
      <c r="AB129" s="1">
        <v>120</v>
      </c>
      <c r="AC129" s="1">
        <v>78</v>
      </c>
      <c r="AD129" s="1">
        <v>12</v>
      </c>
      <c r="AE129" s="1">
        <v>19</v>
      </c>
      <c r="AF129" s="1">
        <v>97</v>
      </c>
      <c r="AG129" s="1">
        <v>35</v>
      </c>
      <c r="AH129" s="1">
        <v>44</v>
      </c>
      <c r="AI129" s="1">
        <v>61</v>
      </c>
      <c r="AJ129" s="1">
        <v>57</v>
      </c>
      <c r="AK129" s="1">
        <v>5</v>
      </c>
      <c r="AL129" s="1">
        <v>9</v>
      </c>
      <c r="AM129" s="1">
        <v>9</v>
      </c>
      <c r="AN129" s="1">
        <v>23</v>
      </c>
      <c r="AO129" s="1">
        <v>39</v>
      </c>
      <c r="AP129" s="1">
        <v>9</v>
      </c>
      <c r="AQ129" s="1">
        <v>44</v>
      </c>
      <c r="AR129" s="1">
        <v>12</v>
      </c>
      <c r="AS129" s="1">
        <v>57</v>
      </c>
      <c r="AT129" s="1">
        <v>11</v>
      </c>
      <c r="AU129" s="1">
        <v>37</v>
      </c>
      <c r="AV129" s="1">
        <v>15</v>
      </c>
      <c r="AW129" s="1">
        <v>50</v>
      </c>
      <c r="AX129" s="1">
        <v>3</v>
      </c>
      <c r="AY129" s="1">
        <v>35</v>
      </c>
      <c r="AZ129" s="1">
        <v>2</v>
      </c>
      <c r="BA129" s="1">
        <v>3</v>
      </c>
      <c r="BB129" s="1">
        <v>9</v>
      </c>
      <c r="BC129" s="1">
        <v>14</v>
      </c>
      <c r="BD129" s="1">
        <v>36</v>
      </c>
      <c r="BE129" s="1">
        <v>8</v>
      </c>
      <c r="BF129" s="1">
        <v>45</v>
      </c>
      <c r="BG129" s="1">
        <v>20</v>
      </c>
      <c r="BH129" s="1">
        <v>8</v>
      </c>
      <c r="BI129" s="1">
        <v>16</v>
      </c>
      <c r="BJ129" s="1">
        <v>44</v>
      </c>
      <c r="BK129" s="1">
        <v>46</v>
      </c>
      <c r="BL129" s="1">
        <v>27</v>
      </c>
      <c r="BM129" s="1">
        <v>57</v>
      </c>
      <c r="BN129" s="1">
        <v>89</v>
      </c>
      <c r="BO129" s="1">
        <v>39</v>
      </c>
      <c r="BP129" s="1">
        <v>4.24</v>
      </c>
      <c r="BQ129" s="1">
        <v>3.96</v>
      </c>
      <c r="BR129" s="1">
        <v>2.0099999999999998</v>
      </c>
      <c r="BS129" s="1">
        <v>3.4</v>
      </c>
      <c r="BT129" s="1">
        <v>58</v>
      </c>
      <c r="BU129" s="1">
        <v>83</v>
      </c>
      <c r="BV129" s="1">
        <v>359.3</v>
      </c>
      <c r="BW129" s="1">
        <v>3</v>
      </c>
      <c r="BX129" s="1">
        <v>37.340000000000003</v>
      </c>
      <c r="BY129" s="1">
        <v>375.75</v>
      </c>
      <c r="BZ129" s="1">
        <v>43.51</v>
      </c>
      <c r="CA129" s="1">
        <v>6.18</v>
      </c>
      <c r="CB129" s="1">
        <v>57.53</v>
      </c>
      <c r="CC129" s="1">
        <v>7.58</v>
      </c>
      <c r="CD129" s="1">
        <v>55.16</v>
      </c>
      <c r="CE129" s="1">
        <v>1.29</v>
      </c>
      <c r="CF129" s="1">
        <v>39.79</v>
      </c>
      <c r="CG129" s="1">
        <v>10.63</v>
      </c>
      <c r="CH129" s="1">
        <v>100</v>
      </c>
      <c r="CI129" s="1">
        <v>0</v>
      </c>
      <c r="CJ129" s="1">
        <v>45.91</v>
      </c>
      <c r="CK129" s="1">
        <v>-0.03</v>
      </c>
      <c r="CL129" s="1">
        <v>37.18</v>
      </c>
      <c r="CM129" s="1">
        <v>0</v>
      </c>
      <c r="CN129" s="1">
        <v>55.48</v>
      </c>
      <c r="CO129" s="1">
        <v>7.0000000000000007E-2</v>
      </c>
      <c r="CP129" s="1">
        <v>59.2</v>
      </c>
      <c r="CQ129" s="1">
        <v>-0.06</v>
      </c>
      <c r="CR129" s="1">
        <v>43.39</v>
      </c>
      <c r="CS129" s="1">
        <v>54</v>
      </c>
      <c r="CT129" s="1">
        <v>58</v>
      </c>
      <c r="CU129" s="1">
        <v>42</v>
      </c>
      <c r="CV129" s="1">
        <v>39</v>
      </c>
      <c r="CW129" s="1">
        <v>36</v>
      </c>
      <c r="CX129" s="1">
        <v>35</v>
      </c>
      <c r="CY129" s="1">
        <v>39</v>
      </c>
      <c r="CZ129" s="1">
        <v>39</v>
      </c>
      <c r="DA129" s="1">
        <v>1</v>
      </c>
    </row>
    <row r="130" spans="1:105" x14ac:dyDescent="0.15">
      <c r="A130" s="1" t="s">
        <v>153</v>
      </c>
      <c r="B130" s="1" t="s">
        <v>510</v>
      </c>
      <c r="C130" s="1">
        <v>2</v>
      </c>
      <c r="D130" s="1">
        <v>12</v>
      </c>
      <c r="E130" s="1">
        <v>37</v>
      </c>
      <c r="F130" s="1">
        <v>108</v>
      </c>
      <c r="G130" s="1">
        <v>87</v>
      </c>
      <c r="H130" s="1">
        <v>21</v>
      </c>
      <c r="I130" s="1">
        <v>62</v>
      </c>
      <c r="J130" s="1">
        <v>60</v>
      </c>
      <c r="K130" s="1">
        <v>41</v>
      </c>
      <c r="L130" s="1">
        <v>60</v>
      </c>
      <c r="M130" s="1">
        <v>120</v>
      </c>
      <c r="N130" s="1">
        <v>116</v>
      </c>
      <c r="O130" s="1">
        <v>40</v>
      </c>
      <c r="P130" s="1">
        <v>47</v>
      </c>
      <c r="Q130" s="1">
        <v>26</v>
      </c>
      <c r="R130" s="1">
        <v>49</v>
      </c>
      <c r="S130" s="1">
        <v>96</v>
      </c>
      <c r="T130" s="1">
        <v>96</v>
      </c>
      <c r="U130" s="1">
        <v>216</v>
      </c>
      <c r="V130" s="1">
        <v>107</v>
      </c>
      <c r="W130" s="1">
        <v>120</v>
      </c>
      <c r="X130" s="1">
        <v>25</v>
      </c>
      <c r="Y130" s="1">
        <v>1</v>
      </c>
      <c r="Z130" s="1">
        <v>24</v>
      </c>
      <c r="AA130" s="1">
        <v>7</v>
      </c>
      <c r="AB130" s="1">
        <v>120</v>
      </c>
      <c r="AC130" s="1">
        <v>43</v>
      </c>
      <c r="AD130" s="1">
        <v>5</v>
      </c>
      <c r="AE130" s="1">
        <v>12</v>
      </c>
      <c r="AF130" s="1">
        <v>79</v>
      </c>
      <c r="AG130" s="1">
        <v>44</v>
      </c>
      <c r="AH130" s="1">
        <v>26</v>
      </c>
      <c r="AI130" s="1">
        <v>41</v>
      </c>
      <c r="AJ130" s="1">
        <v>25</v>
      </c>
      <c r="AK130" s="1">
        <v>5</v>
      </c>
      <c r="AL130" s="1">
        <v>7</v>
      </c>
      <c r="AM130" s="1">
        <v>7</v>
      </c>
      <c r="AN130" s="1">
        <v>19</v>
      </c>
      <c r="AO130" s="1">
        <v>32</v>
      </c>
      <c r="AP130" s="1">
        <v>5</v>
      </c>
      <c r="AQ130" s="1">
        <v>20</v>
      </c>
      <c r="AR130" s="1">
        <v>10</v>
      </c>
      <c r="AS130" s="1">
        <v>29</v>
      </c>
      <c r="AT130" s="1">
        <v>15</v>
      </c>
      <c r="AU130" s="1">
        <v>38</v>
      </c>
      <c r="AV130" s="1">
        <v>15</v>
      </c>
      <c r="AW130" s="1">
        <v>43</v>
      </c>
      <c r="AX130" s="1">
        <v>19</v>
      </c>
      <c r="AY130" s="1">
        <v>36</v>
      </c>
      <c r="AZ130" s="1">
        <v>6</v>
      </c>
      <c r="BA130" s="1">
        <v>7</v>
      </c>
      <c r="BB130" s="1">
        <v>9</v>
      </c>
      <c r="BC130" s="1">
        <v>22</v>
      </c>
      <c r="BD130" s="1">
        <v>34</v>
      </c>
      <c r="BE130" s="1">
        <v>8</v>
      </c>
      <c r="BF130" s="1">
        <v>30</v>
      </c>
      <c r="BG130" s="1">
        <v>9</v>
      </c>
      <c r="BH130" s="1">
        <v>10</v>
      </c>
      <c r="BI130" s="1">
        <v>10</v>
      </c>
      <c r="BJ130" s="1">
        <v>29</v>
      </c>
      <c r="BK130" s="1">
        <v>38</v>
      </c>
      <c r="BL130" s="1">
        <v>17</v>
      </c>
      <c r="BM130" s="1">
        <v>36</v>
      </c>
      <c r="BN130" s="1">
        <v>93</v>
      </c>
      <c r="BO130" s="1">
        <v>49</v>
      </c>
      <c r="BP130" s="1">
        <v>2.61</v>
      </c>
      <c r="BQ130" s="1">
        <v>1.18</v>
      </c>
      <c r="BR130" s="1">
        <v>0.96</v>
      </c>
      <c r="BS130" s="1">
        <v>1.58</v>
      </c>
      <c r="BT130" s="1">
        <v>25</v>
      </c>
      <c r="BU130" s="1">
        <v>0</v>
      </c>
      <c r="BV130" s="1">
        <v>40.86</v>
      </c>
      <c r="BW130" s="1">
        <v>5</v>
      </c>
      <c r="BX130" s="1">
        <v>38.03</v>
      </c>
      <c r="BY130" s="1">
        <v>516.46</v>
      </c>
      <c r="BZ130" s="1">
        <v>68.84</v>
      </c>
      <c r="CA130" s="1">
        <v>8.4700000000000006</v>
      </c>
      <c r="CB130" s="1">
        <v>64.099999999999994</v>
      </c>
      <c r="CC130" s="1">
        <v>10.85</v>
      </c>
      <c r="CD130" s="1">
        <v>57.96</v>
      </c>
      <c r="CE130" s="1">
        <v>1.17</v>
      </c>
      <c r="CF130" s="1">
        <v>38.79</v>
      </c>
      <c r="CG130" s="1">
        <v>0.8</v>
      </c>
      <c r="CH130" s="1">
        <v>50.51</v>
      </c>
      <c r="CI130" s="1">
        <v>0</v>
      </c>
      <c r="CJ130" s="1">
        <v>44.54</v>
      </c>
      <c r="CK130" s="1">
        <v>-0.04</v>
      </c>
      <c r="CL130" s="1">
        <v>35.380000000000003</v>
      </c>
      <c r="CM130" s="1">
        <v>-0.05</v>
      </c>
      <c r="CN130" s="1">
        <v>43.08</v>
      </c>
      <c r="CO130" s="1">
        <v>0.05</v>
      </c>
      <c r="CP130" s="1">
        <v>49.47</v>
      </c>
      <c r="CQ130" s="1">
        <v>0.12</v>
      </c>
      <c r="CR130" s="1">
        <v>59.25</v>
      </c>
      <c r="CS130" s="1">
        <v>22</v>
      </c>
      <c r="CT130" s="1">
        <v>25</v>
      </c>
      <c r="CU130" s="1">
        <v>39</v>
      </c>
      <c r="CV130" s="1">
        <v>32</v>
      </c>
      <c r="CW130" s="1">
        <v>34</v>
      </c>
      <c r="CX130" s="1">
        <v>36</v>
      </c>
      <c r="CY130" s="1">
        <v>42</v>
      </c>
      <c r="CZ130" s="1">
        <v>24</v>
      </c>
      <c r="DA130" s="1">
        <v>1</v>
      </c>
    </row>
    <row r="131" spans="1:105" x14ac:dyDescent="0.15">
      <c r="A131" s="1" t="s">
        <v>157</v>
      </c>
      <c r="B131" s="1" t="s">
        <v>511</v>
      </c>
      <c r="C131" s="1">
        <v>3</v>
      </c>
      <c r="D131" s="1">
        <v>12</v>
      </c>
      <c r="E131" s="1">
        <v>40</v>
      </c>
      <c r="F131" s="1">
        <v>110</v>
      </c>
      <c r="G131" s="1">
        <v>98</v>
      </c>
      <c r="H131" s="1">
        <v>12</v>
      </c>
      <c r="I131" s="1">
        <v>38</v>
      </c>
      <c r="J131" s="1">
        <v>29</v>
      </c>
      <c r="K131" s="1">
        <v>21</v>
      </c>
      <c r="L131" s="1">
        <v>26</v>
      </c>
      <c r="M131" s="1">
        <v>55</v>
      </c>
      <c r="N131" s="1">
        <v>70</v>
      </c>
      <c r="O131" s="1">
        <v>50</v>
      </c>
      <c r="P131" s="1">
        <v>56</v>
      </c>
      <c r="Q131" s="1">
        <v>15</v>
      </c>
      <c r="R131" s="1">
        <v>37</v>
      </c>
      <c r="S131" s="1">
        <v>93</v>
      </c>
      <c r="T131" s="1">
        <v>94</v>
      </c>
      <c r="U131" s="1">
        <v>148</v>
      </c>
      <c r="V131" s="1">
        <v>78</v>
      </c>
      <c r="W131" s="1">
        <v>120</v>
      </c>
      <c r="X131" s="1">
        <v>27</v>
      </c>
      <c r="Y131" s="1">
        <v>1</v>
      </c>
      <c r="Z131" s="1">
        <v>16</v>
      </c>
      <c r="AA131" s="1">
        <v>8</v>
      </c>
      <c r="AB131" s="1">
        <v>120</v>
      </c>
      <c r="AC131" s="1">
        <v>48</v>
      </c>
      <c r="AD131" s="1">
        <v>6</v>
      </c>
      <c r="AE131" s="1">
        <v>14</v>
      </c>
      <c r="AF131" s="1">
        <v>84</v>
      </c>
      <c r="AG131" s="1">
        <v>83</v>
      </c>
      <c r="AH131" s="1">
        <v>11</v>
      </c>
      <c r="AI131" s="1">
        <v>36</v>
      </c>
      <c r="AJ131" s="1">
        <v>29</v>
      </c>
      <c r="AK131" s="1">
        <v>6</v>
      </c>
      <c r="AL131" s="1">
        <v>8</v>
      </c>
      <c r="AM131" s="1">
        <v>8</v>
      </c>
      <c r="AN131" s="1">
        <v>22</v>
      </c>
      <c r="AO131" s="1">
        <v>38</v>
      </c>
      <c r="AP131" s="1">
        <v>8</v>
      </c>
      <c r="AQ131" s="1">
        <v>40</v>
      </c>
      <c r="AR131" s="1">
        <v>5</v>
      </c>
      <c r="AS131" s="1">
        <v>20</v>
      </c>
      <c r="AT131" s="1">
        <v>12</v>
      </c>
      <c r="AU131" s="1">
        <v>33</v>
      </c>
      <c r="AV131" s="1">
        <v>6</v>
      </c>
      <c r="AW131" s="1">
        <v>19</v>
      </c>
      <c r="AX131" s="1">
        <v>11</v>
      </c>
      <c r="AY131" s="1">
        <v>34</v>
      </c>
      <c r="AZ131" s="1">
        <v>3</v>
      </c>
      <c r="BA131" s="1">
        <v>5</v>
      </c>
      <c r="BB131" s="1">
        <v>8</v>
      </c>
      <c r="BC131" s="1">
        <v>16</v>
      </c>
      <c r="BD131" s="1">
        <v>34</v>
      </c>
      <c r="BE131" s="1">
        <v>6</v>
      </c>
      <c r="BF131" s="1">
        <v>29</v>
      </c>
      <c r="BG131" s="1">
        <v>11</v>
      </c>
      <c r="BH131" s="1">
        <v>7</v>
      </c>
      <c r="BI131" s="1">
        <v>7</v>
      </c>
      <c r="BJ131" s="1">
        <v>25</v>
      </c>
      <c r="BK131" s="1">
        <v>35</v>
      </c>
      <c r="BL131" s="1">
        <v>11</v>
      </c>
      <c r="BM131" s="1">
        <v>27</v>
      </c>
      <c r="BN131" s="1">
        <v>9999</v>
      </c>
      <c r="BO131" s="1">
        <v>9999</v>
      </c>
      <c r="BP131" s="1">
        <v>1.25</v>
      </c>
      <c r="BQ131" s="1">
        <v>0.84</v>
      </c>
      <c r="BR131" s="1">
        <v>0.28000000000000008</v>
      </c>
      <c r="BS131" s="1">
        <v>0.79</v>
      </c>
      <c r="BT131" s="1">
        <v>16</v>
      </c>
      <c r="BU131" s="1">
        <v>24</v>
      </c>
      <c r="BV131" s="1">
        <v>122.08</v>
      </c>
      <c r="BW131" s="1">
        <v>8</v>
      </c>
      <c r="BX131" s="1">
        <v>42.69</v>
      </c>
      <c r="BY131" s="1">
        <v>500.74</v>
      </c>
      <c r="BZ131" s="1">
        <v>70.680000000000007</v>
      </c>
      <c r="CA131" s="1">
        <v>10.07</v>
      </c>
      <c r="CB131" s="1">
        <v>76.58</v>
      </c>
      <c r="CC131" s="1">
        <v>14.74</v>
      </c>
      <c r="CD131" s="1">
        <v>73.06</v>
      </c>
      <c r="CE131" s="1">
        <v>1.01</v>
      </c>
      <c r="CF131" s="1">
        <v>44.02</v>
      </c>
      <c r="CG131" s="1">
        <v>2.81</v>
      </c>
      <c r="CH131" s="1">
        <v>64.3</v>
      </c>
      <c r="CI131" s="1">
        <v>3</v>
      </c>
      <c r="CJ131" s="1">
        <v>109.22</v>
      </c>
      <c r="CK131" s="1">
        <v>0.05</v>
      </c>
      <c r="CL131" s="1">
        <v>74.8</v>
      </c>
      <c r="CM131" s="1">
        <v>0.11</v>
      </c>
      <c r="CN131" s="1">
        <v>77.709999999999994</v>
      </c>
      <c r="CO131" s="1">
        <v>0</v>
      </c>
      <c r="CP131" s="1">
        <v>34.299999999999997</v>
      </c>
      <c r="CQ131" s="1">
        <v>-0.19</v>
      </c>
      <c r="CR131" s="1">
        <v>30.04</v>
      </c>
      <c r="CS131" s="1">
        <v>14</v>
      </c>
      <c r="CT131" s="1">
        <v>16</v>
      </c>
      <c r="CU131" s="1">
        <v>21</v>
      </c>
      <c r="CV131" s="1">
        <v>38</v>
      </c>
      <c r="CW131" s="1">
        <v>34</v>
      </c>
      <c r="CX131" s="1">
        <v>34</v>
      </c>
      <c r="CY131" s="1">
        <v>9999</v>
      </c>
      <c r="CZ131" s="1">
        <v>9999</v>
      </c>
      <c r="DA131" s="1">
        <v>1</v>
      </c>
    </row>
    <row r="132" spans="1:105" x14ac:dyDescent="0.15">
      <c r="A132" s="1" t="s">
        <v>161</v>
      </c>
      <c r="B132" s="1" t="s">
        <v>512</v>
      </c>
      <c r="C132" s="1">
        <v>3</v>
      </c>
      <c r="D132" s="1">
        <v>13</v>
      </c>
      <c r="E132" s="1">
        <v>21</v>
      </c>
      <c r="F132" s="1">
        <v>81</v>
      </c>
      <c r="G132" s="1">
        <v>102</v>
      </c>
      <c r="H132" s="1">
        <v>-19</v>
      </c>
      <c r="I132" s="1">
        <v>52</v>
      </c>
      <c r="J132" s="1">
        <v>46</v>
      </c>
      <c r="K132" s="1">
        <v>28</v>
      </c>
      <c r="L132" s="1">
        <v>44</v>
      </c>
      <c r="M132" s="1">
        <v>90</v>
      </c>
      <c r="N132" s="1">
        <v>92</v>
      </c>
      <c r="O132" s="1">
        <v>48</v>
      </c>
      <c r="P132" s="1">
        <v>60</v>
      </c>
      <c r="Q132" s="1">
        <v>20</v>
      </c>
      <c r="R132" s="1">
        <v>52</v>
      </c>
      <c r="S132" s="1">
        <v>112</v>
      </c>
      <c r="T132" s="1">
        <v>109</v>
      </c>
      <c r="U132" s="1">
        <v>202</v>
      </c>
      <c r="V132" s="1">
        <v>100</v>
      </c>
      <c r="W132" s="1">
        <v>120</v>
      </c>
      <c r="X132" s="1">
        <v>24</v>
      </c>
      <c r="Y132" s="1">
        <v>0</v>
      </c>
      <c r="Z132" s="1">
        <v>24</v>
      </c>
      <c r="AA132" s="1">
        <v>8</v>
      </c>
      <c r="AB132" s="1">
        <v>120</v>
      </c>
      <c r="AC132" s="1">
        <v>49</v>
      </c>
      <c r="AD132" s="1">
        <v>8</v>
      </c>
      <c r="AE132" s="1">
        <v>16</v>
      </c>
      <c r="AF132" s="1">
        <v>89</v>
      </c>
      <c r="AG132" s="1">
        <v>36</v>
      </c>
      <c r="AH132" s="1">
        <v>43</v>
      </c>
      <c r="AI132" s="1">
        <v>39</v>
      </c>
      <c r="AJ132" s="1">
        <v>39</v>
      </c>
      <c r="AK132" s="1">
        <v>5</v>
      </c>
      <c r="AL132" s="1">
        <v>7</v>
      </c>
      <c r="AM132" s="1">
        <v>4</v>
      </c>
      <c r="AN132" s="1">
        <v>16</v>
      </c>
      <c r="AO132" s="1">
        <v>31</v>
      </c>
      <c r="AP132" s="1">
        <v>7</v>
      </c>
      <c r="AQ132" s="1">
        <v>35</v>
      </c>
      <c r="AR132" s="1">
        <v>10</v>
      </c>
      <c r="AS132" s="1">
        <v>44</v>
      </c>
      <c r="AT132" s="1">
        <v>16</v>
      </c>
      <c r="AU132" s="1">
        <v>50</v>
      </c>
      <c r="AV132" s="1">
        <v>7</v>
      </c>
      <c r="AW132" s="1">
        <v>24</v>
      </c>
      <c r="AX132" s="1">
        <v>13</v>
      </c>
      <c r="AY132" s="1">
        <v>43</v>
      </c>
      <c r="AZ132" s="1">
        <v>5</v>
      </c>
      <c r="BA132" s="1">
        <v>5</v>
      </c>
      <c r="BB132" s="1">
        <v>9</v>
      </c>
      <c r="BC132" s="1">
        <v>19</v>
      </c>
      <c r="BD132" s="1">
        <v>47</v>
      </c>
      <c r="BE132" s="1">
        <v>8</v>
      </c>
      <c r="BF132" s="1">
        <v>46</v>
      </c>
      <c r="BG132" s="1">
        <v>12</v>
      </c>
      <c r="BH132" s="1">
        <v>8</v>
      </c>
      <c r="BI132" s="1">
        <v>11</v>
      </c>
      <c r="BJ132" s="1">
        <v>31</v>
      </c>
      <c r="BK132" s="1">
        <v>39</v>
      </c>
      <c r="BL132" s="1">
        <v>19</v>
      </c>
      <c r="BM132" s="1">
        <v>43</v>
      </c>
      <c r="BN132" s="1">
        <v>80</v>
      </c>
      <c r="BO132" s="1">
        <v>29</v>
      </c>
      <c r="BP132" s="1">
        <v>4.24</v>
      </c>
      <c r="BQ132" s="1">
        <v>3.96</v>
      </c>
      <c r="BR132" s="1">
        <v>1.45</v>
      </c>
      <c r="BS132" s="1">
        <v>3.22</v>
      </c>
      <c r="BT132" s="1">
        <v>54</v>
      </c>
      <c r="BU132" s="1">
        <v>2</v>
      </c>
      <c r="BV132" s="1">
        <v>46.05</v>
      </c>
      <c r="BW132" s="1">
        <v>7</v>
      </c>
      <c r="BX132" s="1">
        <v>42.47</v>
      </c>
      <c r="BY132" s="1">
        <v>454.76</v>
      </c>
      <c r="BZ132" s="1">
        <v>58.75</v>
      </c>
      <c r="CA132" s="1">
        <v>7.29</v>
      </c>
      <c r="CB132" s="1">
        <v>57.6</v>
      </c>
      <c r="CC132" s="1">
        <v>8.36</v>
      </c>
      <c r="CD132" s="1">
        <v>52.13</v>
      </c>
      <c r="CE132" s="1">
        <v>0.93</v>
      </c>
      <c r="CF132" s="1">
        <v>43.94</v>
      </c>
      <c r="CG132" s="1">
        <v>1.1100000000000001</v>
      </c>
      <c r="CH132" s="1">
        <v>63.26</v>
      </c>
      <c r="CI132" s="1">
        <v>0</v>
      </c>
      <c r="CJ132" s="1">
        <v>42.49</v>
      </c>
      <c r="CK132" s="1">
        <v>0.01</v>
      </c>
      <c r="CL132" s="1">
        <v>49.52</v>
      </c>
      <c r="CM132" s="1">
        <v>0.05</v>
      </c>
      <c r="CN132" s="1">
        <v>59.22</v>
      </c>
      <c r="CO132" s="1">
        <v>0.09</v>
      </c>
      <c r="CP132" s="1">
        <v>62.21</v>
      </c>
      <c r="CQ132" s="1">
        <v>0.05</v>
      </c>
      <c r="CR132" s="1">
        <v>69.12</v>
      </c>
      <c r="CS132" s="1">
        <v>39</v>
      </c>
      <c r="CT132" s="1">
        <v>54</v>
      </c>
      <c r="CU132" s="1">
        <v>34</v>
      </c>
      <c r="CV132" s="1">
        <v>31</v>
      </c>
      <c r="CW132" s="1">
        <v>47</v>
      </c>
      <c r="CX132" s="1">
        <v>43</v>
      </c>
      <c r="CY132" s="1">
        <v>29</v>
      </c>
      <c r="CZ132" s="1">
        <v>33</v>
      </c>
      <c r="DA132" s="1">
        <v>1</v>
      </c>
    </row>
    <row r="133" spans="1:105" x14ac:dyDescent="0.15">
      <c r="A133" s="1" t="s">
        <v>163</v>
      </c>
      <c r="B133" s="1" t="s">
        <v>513</v>
      </c>
      <c r="C133" s="1">
        <v>3</v>
      </c>
      <c r="D133" s="1">
        <v>12</v>
      </c>
      <c r="E133" s="1">
        <v>24</v>
      </c>
      <c r="F133" s="1">
        <v>86</v>
      </c>
      <c r="G133" s="1">
        <v>98</v>
      </c>
      <c r="H133" s="1">
        <v>-12</v>
      </c>
      <c r="I133" s="1">
        <v>55</v>
      </c>
      <c r="J133" s="1">
        <v>48</v>
      </c>
      <c r="K133" s="1">
        <v>40</v>
      </c>
      <c r="L133" s="1">
        <v>58</v>
      </c>
      <c r="M133" s="1">
        <v>106</v>
      </c>
      <c r="N133" s="1">
        <v>105</v>
      </c>
      <c r="O133" s="1">
        <v>44</v>
      </c>
      <c r="P133" s="1">
        <v>51</v>
      </c>
      <c r="Q133" s="1">
        <v>26</v>
      </c>
      <c r="R133" s="1">
        <v>52</v>
      </c>
      <c r="S133" s="1">
        <v>105</v>
      </c>
      <c r="T133" s="1">
        <v>102</v>
      </c>
      <c r="U133" s="1">
        <v>209</v>
      </c>
      <c r="V133" s="1">
        <v>104</v>
      </c>
      <c r="W133" s="1">
        <v>120</v>
      </c>
      <c r="X133" s="1">
        <v>26</v>
      </c>
      <c r="Y133" s="1">
        <v>4</v>
      </c>
      <c r="Z133" s="1">
        <v>22</v>
      </c>
      <c r="AA133" s="1">
        <v>6</v>
      </c>
      <c r="AB133" s="1">
        <v>120</v>
      </c>
      <c r="AC133" s="1">
        <v>68</v>
      </c>
      <c r="AD133" s="1">
        <v>9</v>
      </c>
      <c r="AE133" s="1">
        <v>15</v>
      </c>
      <c r="AF133" s="1">
        <v>86</v>
      </c>
      <c r="AG133" s="1">
        <v>18</v>
      </c>
      <c r="AH133" s="1">
        <v>58</v>
      </c>
      <c r="AI133" s="1">
        <v>50</v>
      </c>
      <c r="AJ133" s="1">
        <v>39</v>
      </c>
      <c r="AK133" s="1">
        <v>7</v>
      </c>
      <c r="AL133" s="1">
        <v>7</v>
      </c>
      <c r="AM133" s="1">
        <v>8</v>
      </c>
      <c r="AN133" s="1">
        <v>22</v>
      </c>
      <c r="AO133" s="1">
        <v>37</v>
      </c>
      <c r="AP133" s="1">
        <v>8</v>
      </c>
      <c r="AQ133" s="1">
        <v>38</v>
      </c>
      <c r="AR133" s="1">
        <v>10</v>
      </c>
      <c r="AS133" s="1">
        <v>44</v>
      </c>
      <c r="AT133" s="1">
        <v>9</v>
      </c>
      <c r="AU133" s="1">
        <v>21</v>
      </c>
      <c r="AV133" s="1">
        <v>11</v>
      </c>
      <c r="AW133" s="1">
        <v>33</v>
      </c>
      <c r="AX133" s="1">
        <v>11</v>
      </c>
      <c r="AY133" s="1">
        <v>29</v>
      </c>
      <c r="AZ133" s="1">
        <v>4</v>
      </c>
      <c r="BA133" s="1">
        <v>4</v>
      </c>
      <c r="BB133" s="1">
        <v>6</v>
      </c>
      <c r="BC133" s="1">
        <v>14</v>
      </c>
      <c r="BD133" s="1">
        <v>25</v>
      </c>
      <c r="BE133" s="1">
        <v>4</v>
      </c>
      <c r="BF133" s="1">
        <v>20</v>
      </c>
      <c r="BG133" s="1">
        <v>9</v>
      </c>
      <c r="BH133" s="1">
        <v>11</v>
      </c>
      <c r="BI133" s="1">
        <v>13</v>
      </c>
      <c r="BJ133" s="1">
        <v>33</v>
      </c>
      <c r="BK133" s="1">
        <v>38</v>
      </c>
      <c r="BL133" s="1">
        <v>28</v>
      </c>
      <c r="BM133" s="1">
        <v>13</v>
      </c>
      <c r="BN133" s="1">
        <v>85</v>
      </c>
      <c r="BO133" s="1">
        <v>38</v>
      </c>
      <c r="BP133" s="1">
        <v>2.12</v>
      </c>
      <c r="BQ133" s="1">
        <v>1.92</v>
      </c>
      <c r="BR133" s="1">
        <v>0.85</v>
      </c>
      <c r="BS133" s="1">
        <v>1.63</v>
      </c>
      <c r="BT133" s="1">
        <v>21</v>
      </c>
      <c r="BU133" s="1">
        <v>1</v>
      </c>
      <c r="BV133" s="1">
        <v>43.87</v>
      </c>
      <c r="BW133" s="1">
        <v>13</v>
      </c>
      <c r="BX133" s="1">
        <v>48.31</v>
      </c>
      <c r="BY133" s="1">
        <v>376.21</v>
      </c>
      <c r="BZ133" s="1">
        <v>49.6</v>
      </c>
      <c r="CA133" s="1">
        <v>5.53</v>
      </c>
      <c r="CB133" s="1">
        <v>51.34</v>
      </c>
      <c r="CC133" s="1">
        <v>6.64</v>
      </c>
      <c r="CD133" s="1">
        <v>48.99</v>
      </c>
      <c r="CE133" s="1">
        <v>0.46</v>
      </c>
      <c r="CF133" s="1">
        <v>54.31</v>
      </c>
      <c r="CG133" s="1">
        <v>0.71</v>
      </c>
      <c r="CH133" s="1">
        <v>49.59</v>
      </c>
      <c r="CI133" s="1">
        <v>1</v>
      </c>
      <c r="CJ133" s="1">
        <v>50.91</v>
      </c>
      <c r="CK133" s="1">
        <v>-0.01</v>
      </c>
      <c r="CL133" s="1">
        <v>43.96</v>
      </c>
      <c r="CM133" s="1">
        <v>-0.01</v>
      </c>
      <c r="CN133" s="1">
        <v>48.66</v>
      </c>
      <c r="CO133" s="1">
        <v>0.05</v>
      </c>
      <c r="CP133" s="1">
        <v>49.05</v>
      </c>
      <c r="CQ133" s="1">
        <v>0.09</v>
      </c>
      <c r="CR133" s="1">
        <v>57.07</v>
      </c>
      <c r="CS133" s="1">
        <v>52</v>
      </c>
      <c r="CT133" s="1">
        <v>27</v>
      </c>
      <c r="CU133" s="1">
        <v>22</v>
      </c>
      <c r="CV133" s="1">
        <v>37</v>
      </c>
      <c r="CW133" s="1">
        <v>25</v>
      </c>
      <c r="CX133" s="1">
        <v>29</v>
      </c>
      <c r="CY133" s="1">
        <v>38</v>
      </c>
      <c r="CZ133" s="1">
        <v>22</v>
      </c>
      <c r="DA133" s="1">
        <v>1</v>
      </c>
    </row>
    <row r="134" spans="1:105" x14ac:dyDescent="0.15">
      <c r="A134" s="1" t="s">
        <v>167</v>
      </c>
      <c r="B134" s="1" t="s">
        <v>514</v>
      </c>
      <c r="C134" s="1">
        <v>1</v>
      </c>
      <c r="D134" s="1">
        <v>14</v>
      </c>
      <c r="E134" s="1">
        <v>39</v>
      </c>
      <c r="F134" s="1">
        <v>108</v>
      </c>
      <c r="G134" s="1">
        <v>105</v>
      </c>
      <c r="H134" s="1">
        <v>3</v>
      </c>
      <c r="I134" s="1">
        <v>65</v>
      </c>
      <c r="J134" s="1">
        <v>57</v>
      </c>
      <c r="K134" s="1">
        <v>44</v>
      </c>
      <c r="L134" s="1">
        <v>64</v>
      </c>
      <c r="M134" s="1">
        <v>121</v>
      </c>
      <c r="N134" s="1">
        <v>117</v>
      </c>
      <c r="O134" s="1">
        <v>54</v>
      </c>
      <c r="P134" s="1">
        <v>60</v>
      </c>
      <c r="Q134" s="1">
        <v>27</v>
      </c>
      <c r="R134" s="1">
        <v>59</v>
      </c>
      <c r="S134" s="1">
        <v>119</v>
      </c>
      <c r="T134" s="1">
        <v>116</v>
      </c>
      <c r="U134" s="1">
        <v>240</v>
      </c>
      <c r="V134" s="1">
        <v>118</v>
      </c>
      <c r="W134" s="1">
        <v>120</v>
      </c>
      <c r="X134" s="1">
        <v>30</v>
      </c>
      <c r="Y134" s="1">
        <v>1</v>
      </c>
      <c r="Z134" s="1">
        <v>29</v>
      </c>
      <c r="AA134" s="1">
        <v>9</v>
      </c>
      <c r="AB134" s="1">
        <v>120</v>
      </c>
      <c r="AC134" s="1">
        <v>64</v>
      </c>
      <c r="AD134" s="1">
        <v>10</v>
      </c>
      <c r="AE134" s="1">
        <v>19</v>
      </c>
      <c r="AF134" s="1">
        <v>97</v>
      </c>
      <c r="AG134" s="1">
        <v>29</v>
      </c>
      <c r="AH134" s="1">
        <v>48</v>
      </c>
      <c r="AI134" s="1">
        <v>52</v>
      </c>
      <c r="AJ134" s="1">
        <v>50</v>
      </c>
      <c r="AK134" s="1">
        <v>7</v>
      </c>
      <c r="AL134" s="1">
        <v>9</v>
      </c>
      <c r="AM134" s="1">
        <v>10</v>
      </c>
      <c r="AN134" s="1">
        <v>26</v>
      </c>
      <c r="AO134" s="1">
        <v>46</v>
      </c>
      <c r="AP134" s="1">
        <v>11</v>
      </c>
      <c r="AQ134" s="1">
        <v>55</v>
      </c>
      <c r="AR134" s="1">
        <v>12</v>
      </c>
      <c r="AS134" s="1">
        <v>57</v>
      </c>
      <c r="AT134" s="1">
        <v>11</v>
      </c>
      <c r="AU134" s="1">
        <v>32</v>
      </c>
      <c r="AV134" s="1">
        <v>15</v>
      </c>
      <c r="AW134" s="1">
        <v>47</v>
      </c>
      <c r="AX134" s="1">
        <v>17</v>
      </c>
      <c r="AY134" s="1">
        <v>46</v>
      </c>
      <c r="AZ134" s="1">
        <v>6</v>
      </c>
      <c r="BA134" s="1">
        <v>11</v>
      </c>
      <c r="BB134" s="1">
        <v>11</v>
      </c>
      <c r="BC134" s="1">
        <v>28</v>
      </c>
      <c r="BD134" s="1">
        <v>59</v>
      </c>
      <c r="BE134" s="1">
        <v>10</v>
      </c>
      <c r="BF134" s="1">
        <v>55</v>
      </c>
      <c r="BG134" s="1">
        <v>15</v>
      </c>
      <c r="BH134" s="1">
        <v>12</v>
      </c>
      <c r="BI134" s="1">
        <v>12</v>
      </c>
      <c r="BJ134" s="1">
        <v>39</v>
      </c>
      <c r="BK134" s="1">
        <v>42</v>
      </c>
      <c r="BL134" s="1">
        <v>24</v>
      </c>
      <c r="BM134" s="1">
        <v>52</v>
      </c>
      <c r="BN134" s="1">
        <v>90</v>
      </c>
      <c r="BO134" s="1">
        <v>41</v>
      </c>
      <c r="BP134" s="1">
        <v>4.24</v>
      </c>
      <c r="BQ134" s="1">
        <v>4.24</v>
      </c>
      <c r="BR134" s="1">
        <v>2.78</v>
      </c>
      <c r="BS134" s="1">
        <v>3.75</v>
      </c>
      <c r="BT134" s="1">
        <v>62</v>
      </c>
      <c r="BU134" s="1">
        <v>0</v>
      </c>
      <c r="BV134" s="1">
        <v>42.1</v>
      </c>
      <c r="BW134" s="1">
        <v>1</v>
      </c>
      <c r="BX134" s="1">
        <v>34.54</v>
      </c>
      <c r="BY134" s="1">
        <v>480.34</v>
      </c>
      <c r="BZ134" s="1">
        <v>67.400000000000006</v>
      </c>
      <c r="CA134" s="1">
        <v>5.74</v>
      </c>
      <c r="CB134" s="1">
        <v>54.67</v>
      </c>
      <c r="CC134" s="1">
        <v>6.48</v>
      </c>
      <c r="CD134" s="1">
        <v>52.21</v>
      </c>
      <c r="CE134" s="1">
        <v>1.88</v>
      </c>
      <c r="CF134" s="1">
        <v>27</v>
      </c>
      <c r="CG134" s="1">
        <v>1.84</v>
      </c>
      <c r="CH134" s="1">
        <v>57.43</v>
      </c>
      <c r="CI134" s="1">
        <v>0</v>
      </c>
      <c r="CJ134" s="1">
        <v>45.77</v>
      </c>
      <c r="CK134" s="1">
        <v>-0.05</v>
      </c>
      <c r="CL134" s="1">
        <v>27.68</v>
      </c>
      <c r="CM134" s="1">
        <v>-0.02</v>
      </c>
      <c r="CN134" s="1">
        <v>53.53</v>
      </c>
      <c r="CO134" s="1">
        <v>0.04</v>
      </c>
      <c r="CP134" s="1">
        <v>46.65</v>
      </c>
      <c r="CQ134" s="1">
        <v>-0.1</v>
      </c>
      <c r="CR134" s="1">
        <v>39.44</v>
      </c>
      <c r="CS134" s="1">
        <v>50</v>
      </c>
      <c r="CT134" s="1">
        <v>62</v>
      </c>
      <c r="CU134" s="1">
        <v>38</v>
      </c>
      <c r="CV134" s="1">
        <v>46</v>
      </c>
      <c r="CW134" s="1">
        <v>59</v>
      </c>
      <c r="CX134" s="1">
        <v>46</v>
      </c>
      <c r="CY134" s="1">
        <v>41</v>
      </c>
      <c r="CZ134" s="1">
        <v>47</v>
      </c>
      <c r="DA134" s="1">
        <v>1</v>
      </c>
    </row>
    <row r="135" spans="1:105" x14ac:dyDescent="0.15">
      <c r="A135" s="1" t="s">
        <v>165</v>
      </c>
      <c r="B135" s="1" t="s">
        <v>515</v>
      </c>
      <c r="C135" s="1">
        <v>1</v>
      </c>
      <c r="D135" s="1">
        <v>16</v>
      </c>
      <c r="E135" s="1">
        <v>48</v>
      </c>
      <c r="F135" s="1">
        <v>122</v>
      </c>
      <c r="G135" s="1">
        <v>111</v>
      </c>
      <c r="H135" s="1">
        <v>11</v>
      </c>
      <c r="I135" s="1">
        <v>62</v>
      </c>
      <c r="J135" s="1">
        <v>53</v>
      </c>
      <c r="K135" s="1">
        <v>41</v>
      </c>
      <c r="L135" s="1">
        <v>59</v>
      </c>
      <c r="M135" s="1">
        <v>112</v>
      </c>
      <c r="N135" s="1">
        <v>109</v>
      </c>
      <c r="O135" s="1">
        <v>70</v>
      </c>
      <c r="P135" s="1">
        <v>71</v>
      </c>
      <c r="Q135" s="1">
        <v>30</v>
      </c>
      <c r="R135" s="1">
        <v>62</v>
      </c>
      <c r="S135" s="1">
        <v>133</v>
      </c>
      <c r="T135" s="1">
        <v>129</v>
      </c>
      <c r="U135" s="1">
        <v>242</v>
      </c>
      <c r="V135" s="1">
        <v>119</v>
      </c>
      <c r="W135" s="1">
        <v>120</v>
      </c>
      <c r="X135" s="1">
        <v>34</v>
      </c>
      <c r="Y135" s="1">
        <v>0</v>
      </c>
      <c r="Z135" s="1">
        <v>34</v>
      </c>
      <c r="AA135" s="1">
        <v>11</v>
      </c>
      <c r="AB135" s="1">
        <v>120</v>
      </c>
      <c r="AC135" s="1">
        <v>56</v>
      </c>
      <c r="AD135" s="1">
        <v>7</v>
      </c>
      <c r="AE135" s="1">
        <v>18</v>
      </c>
      <c r="AF135" s="1">
        <v>94</v>
      </c>
      <c r="AG135" s="1">
        <v>32</v>
      </c>
      <c r="AH135" s="1">
        <v>43</v>
      </c>
      <c r="AI135" s="1">
        <v>54</v>
      </c>
      <c r="AJ135" s="1">
        <v>49</v>
      </c>
      <c r="AK135" s="1">
        <v>5</v>
      </c>
      <c r="AL135" s="1">
        <v>8</v>
      </c>
      <c r="AM135" s="1">
        <v>8</v>
      </c>
      <c r="AN135" s="1">
        <v>21</v>
      </c>
      <c r="AO135" s="1">
        <v>37</v>
      </c>
      <c r="AP135" s="1">
        <v>7</v>
      </c>
      <c r="AQ135" s="1">
        <v>35</v>
      </c>
      <c r="AR135" s="1">
        <v>11</v>
      </c>
      <c r="AS135" s="1">
        <v>49</v>
      </c>
      <c r="AT135" s="1">
        <v>13</v>
      </c>
      <c r="AU135" s="1">
        <v>37</v>
      </c>
      <c r="AV135" s="1">
        <v>17</v>
      </c>
      <c r="AW135" s="1">
        <v>52</v>
      </c>
      <c r="AX135" s="1">
        <v>23</v>
      </c>
      <c r="AY135" s="1">
        <v>55</v>
      </c>
      <c r="AZ135" s="1">
        <v>6</v>
      </c>
      <c r="BA135" s="1">
        <v>10</v>
      </c>
      <c r="BB135" s="1">
        <v>12</v>
      </c>
      <c r="BC135" s="1">
        <v>28</v>
      </c>
      <c r="BD135" s="1">
        <v>56</v>
      </c>
      <c r="BE135" s="1">
        <v>11</v>
      </c>
      <c r="BF135" s="1">
        <v>59</v>
      </c>
      <c r="BG135" s="1">
        <v>20</v>
      </c>
      <c r="BH135" s="1">
        <v>15</v>
      </c>
      <c r="BI135" s="1">
        <v>16</v>
      </c>
      <c r="BJ135" s="1">
        <v>51</v>
      </c>
      <c r="BK135" s="1">
        <v>45</v>
      </c>
      <c r="BL135" s="1">
        <v>23</v>
      </c>
      <c r="BM135" s="1">
        <v>49</v>
      </c>
      <c r="BN135" s="1">
        <v>96</v>
      </c>
      <c r="BO135" s="1">
        <v>49</v>
      </c>
      <c r="BP135" s="1">
        <v>2.96</v>
      </c>
      <c r="BQ135" s="1">
        <v>2.85</v>
      </c>
      <c r="BR135" s="1">
        <v>1.62</v>
      </c>
      <c r="BS135" s="1">
        <v>2.48</v>
      </c>
      <c r="BT135" s="1">
        <v>42</v>
      </c>
      <c r="BU135" s="1">
        <v>0</v>
      </c>
      <c r="BV135" s="1">
        <v>42.1</v>
      </c>
      <c r="BW135" s="1">
        <v>0</v>
      </c>
      <c r="BX135" s="1">
        <v>33.380000000000003</v>
      </c>
      <c r="BY135" s="1">
        <v>579.22</v>
      </c>
      <c r="BZ135" s="1">
        <v>82.19</v>
      </c>
      <c r="CA135" s="1">
        <v>3.05</v>
      </c>
      <c r="CB135" s="1">
        <v>29.93</v>
      </c>
      <c r="CC135" s="1">
        <v>4.03</v>
      </c>
      <c r="CD135" s="1">
        <v>40.130000000000003</v>
      </c>
      <c r="CE135" s="1">
        <v>2.16</v>
      </c>
      <c r="CF135" s="1">
        <v>21.52</v>
      </c>
      <c r="CG135" s="1">
        <v>2.74</v>
      </c>
      <c r="CH135" s="1">
        <v>63.82</v>
      </c>
      <c r="CI135" s="1">
        <v>0</v>
      </c>
      <c r="CJ135" s="1">
        <v>45.77</v>
      </c>
      <c r="CK135" s="1">
        <v>0</v>
      </c>
      <c r="CL135" s="1">
        <v>48.67</v>
      </c>
      <c r="CM135" s="1">
        <v>-0.06</v>
      </c>
      <c r="CN135" s="1">
        <v>45.07</v>
      </c>
      <c r="CO135" s="1">
        <v>0.01</v>
      </c>
      <c r="CP135" s="1">
        <v>36.51</v>
      </c>
      <c r="CQ135" s="1">
        <v>-0.09</v>
      </c>
      <c r="CR135" s="1">
        <v>40.409999999999997</v>
      </c>
      <c r="CS135" s="1">
        <v>46</v>
      </c>
      <c r="CT135" s="1">
        <v>42</v>
      </c>
      <c r="CU135" s="1">
        <v>44</v>
      </c>
      <c r="CV135" s="1">
        <v>37</v>
      </c>
      <c r="CW135" s="1">
        <v>56</v>
      </c>
      <c r="CX135" s="1">
        <v>55</v>
      </c>
      <c r="CY135" s="1">
        <v>49</v>
      </c>
      <c r="CZ135" s="1">
        <v>45</v>
      </c>
      <c r="DA135" s="1">
        <v>1</v>
      </c>
    </row>
    <row r="136" spans="1:105" x14ac:dyDescent="0.15">
      <c r="A136" s="1" t="s">
        <v>169</v>
      </c>
      <c r="B136" s="1" t="s">
        <v>516</v>
      </c>
      <c r="C136" s="1">
        <v>2</v>
      </c>
      <c r="D136" s="1">
        <v>11</v>
      </c>
      <c r="E136" s="1">
        <v>29</v>
      </c>
      <c r="F136" s="1">
        <v>81</v>
      </c>
      <c r="G136" s="1">
        <v>83</v>
      </c>
      <c r="H136" s="1">
        <v>-2</v>
      </c>
      <c r="I136" s="1">
        <v>57</v>
      </c>
      <c r="J136" s="1">
        <v>47</v>
      </c>
      <c r="K136" s="1">
        <v>38</v>
      </c>
      <c r="L136" s="1">
        <v>54</v>
      </c>
      <c r="M136" s="1">
        <v>101</v>
      </c>
      <c r="N136" s="1">
        <v>100</v>
      </c>
      <c r="O136" s="1">
        <v>58</v>
      </c>
      <c r="P136" s="1">
        <v>60</v>
      </c>
      <c r="Q136" s="1">
        <v>24</v>
      </c>
      <c r="R136" s="1">
        <v>48</v>
      </c>
      <c r="S136" s="1">
        <v>108</v>
      </c>
      <c r="T136" s="1">
        <v>106</v>
      </c>
      <c r="U136" s="1">
        <v>209</v>
      </c>
      <c r="V136" s="1">
        <v>104</v>
      </c>
      <c r="W136" s="1">
        <v>120</v>
      </c>
      <c r="X136" s="1">
        <v>45</v>
      </c>
      <c r="Y136" s="1">
        <v>3</v>
      </c>
      <c r="Z136" s="1">
        <v>42</v>
      </c>
      <c r="AA136" s="1">
        <v>13</v>
      </c>
      <c r="AB136" s="1">
        <v>120</v>
      </c>
      <c r="AC136" s="1">
        <v>76</v>
      </c>
      <c r="AD136" s="1">
        <v>11</v>
      </c>
      <c r="AE136" s="1">
        <v>23</v>
      </c>
      <c r="AF136" s="1">
        <v>108</v>
      </c>
      <c r="AG136" s="1">
        <v>15</v>
      </c>
      <c r="AH136" s="1">
        <v>63</v>
      </c>
      <c r="AI136" s="1">
        <v>52</v>
      </c>
      <c r="AJ136" s="1">
        <v>40</v>
      </c>
      <c r="AK136" s="1">
        <v>7</v>
      </c>
      <c r="AL136" s="1">
        <v>9</v>
      </c>
      <c r="AM136" s="1">
        <v>11</v>
      </c>
      <c r="AN136" s="1">
        <v>27</v>
      </c>
      <c r="AO136" s="1">
        <v>46</v>
      </c>
      <c r="AP136" s="1">
        <v>8</v>
      </c>
      <c r="AQ136" s="1">
        <v>34</v>
      </c>
      <c r="AR136" s="1">
        <v>8</v>
      </c>
      <c r="AS136" s="1">
        <v>29</v>
      </c>
      <c r="AT136" s="1">
        <v>17</v>
      </c>
      <c r="AU136" s="1">
        <v>46</v>
      </c>
      <c r="AV136" s="1">
        <v>16</v>
      </c>
      <c r="AW136" s="1">
        <v>47</v>
      </c>
      <c r="AX136" s="1">
        <v>23</v>
      </c>
      <c r="AY136" s="1">
        <v>48</v>
      </c>
      <c r="AZ136" s="1">
        <v>8</v>
      </c>
      <c r="BA136" s="1">
        <v>8</v>
      </c>
      <c r="BB136" s="1">
        <v>8</v>
      </c>
      <c r="BC136" s="1">
        <v>24</v>
      </c>
      <c r="BD136" s="1">
        <v>42</v>
      </c>
      <c r="BE136" s="1">
        <v>9</v>
      </c>
      <c r="BF136" s="1">
        <v>34</v>
      </c>
      <c r="BG136" s="1">
        <v>18</v>
      </c>
      <c r="BH136" s="1">
        <v>8</v>
      </c>
      <c r="BI136" s="1">
        <v>17</v>
      </c>
      <c r="BJ136" s="1">
        <v>43</v>
      </c>
      <c r="BK136" s="1">
        <v>49</v>
      </c>
      <c r="BL136" s="1">
        <v>17</v>
      </c>
      <c r="BM136" s="1">
        <v>37</v>
      </c>
      <c r="BN136" s="1">
        <v>67</v>
      </c>
      <c r="BO136" s="1">
        <v>18</v>
      </c>
      <c r="BP136" s="1">
        <v>3.34</v>
      </c>
      <c r="BQ136" s="1">
        <v>2.61</v>
      </c>
      <c r="BR136" s="1">
        <v>1.46</v>
      </c>
      <c r="BS136" s="1">
        <v>2.4700000000000002</v>
      </c>
      <c r="BT136" s="1">
        <v>40</v>
      </c>
      <c r="BU136" s="1">
        <v>8</v>
      </c>
      <c r="BV136" s="1">
        <v>64.959999999999994</v>
      </c>
      <c r="BW136" s="1">
        <v>28</v>
      </c>
      <c r="BX136" s="1">
        <v>67.59</v>
      </c>
      <c r="BY136" s="1">
        <v>301.43</v>
      </c>
      <c r="BZ136" s="1">
        <v>36.14</v>
      </c>
      <c r="CA136" s="1">
        <v>8.0299999999999994</v>
      </c>
      <c r="CB136" s="1">
        <v>62.5</v>
      </c>
      <c r="CC136" s="1">
        <v>18.09</v>
      </c>
      <c r="CD136" s="1">
        <v>67.319999999999993</v>
      </c>
      <c r="CE136" s="1">
        <v>0.4</v>
      </c>
      <c r="CF136" s="1">
        <v>55.52</v>
      </c>
      <c r="CG136" s="1">
        <v>0.39</v>
      </c>
      <c r="CH136" s="1">
        <v>46.1</v>
      </c>
      <c r="CI136" s="1">
        <v>1</v>
      </c>
      <c r="CJ136" s="1">
        <v>50.91</v>
      </c>
      <c r="CK136" s="1">
        <v>0.01</v>
      </c>
      <c r="CL136" s="1">
        <v>53.1</v>
      </c>
      <c r="CM136" s="1">
        <v>0.16</v>
      </c>
      <c r="CN136" s="1">
        <v>69.89</v>
      </c>
      <c r="CO136" s="1">
        <v>0.11</v>
      </c>
      <c r="CP136" s="1">
        <v>66.03</v>
      </c>
      <c r="CQ136" s="1">
        <v>0.24</v>
      </c>
      <c r="CR136" s="1">
        <v>70.150000000000006</v>
      </c>
      <c r="CS136" s="1">
        <v>46</v>
      </c>
      <c r="CT136" s="1">
        <v>40</v>
      </c>
      <c r="CU136" s="1">
        <v>46</v>
      </c>
      <c r="CV136" s="1">
        <v>46</v>
      </c>
      <c r="CW136" s="1">
        <v>42</v>
      </c>
      <c r="CX136" s="1">
        <v>48</v>
      </c>
      <c r="CY136" s="1">
        <v>18</v>
      </c>
      <c r="CZ136" s="1">
        <v>35</v>
      </c>
      <c r="DA136" s="1">
        <v>1</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8"/>
  <sheetViews>
    <sheetView topLeftCell="A130" zoomScale="90" zoomScaleNormal="90" workbookViewId="0">
      <selection activeCell="D27" sqref="D27"/>
    </sheetView>
  </sheetViews>
  <sheetFormatPr baseColWidth="10" defaultColWidth="9.5" defaultRowHeight="13" x14ac:dyDescent="0.15"/>
  <cols>
    <col min="1" max="1" width="9.5" style="5"/>
    <col min="2" max="2" width="37.83203125" style="5" customWidth="1"/>
    <col min="3" max="3" width="26" style="5" customWidth="1"/>
    <col min="4" max="4" width="36.5" style="5" customWidth="1"/>
    <col min="5" max="5" width="49.6640625" style="5" customWidth="1"/>
    <col min="6" max="6" width="39.5" style="5" customWidth="1"/>
    <col min="7" max="7" width="32" style="5" customWidth="1"/>
    <col min="8" max="8" width="48.83203125" style="5" customWidth="1"/>
    <col min="9" max="9" width="65.1640625" style="5" customWidth="1"/>
    <col min="10" max="16384" width="9.5" style="5"/>
  </cols>
  <sheetData>
    <row r="1" spans="1:9" x14ac:dyDescent="0.15">
      <c r="B1" s="5" t="s">
        <v>517</v>
      </c>
      <c r="C1" s="5" t="s">
        <v>518</v>
      </c>
      <c r="D1" s="5" t="s">
        <v>519</v>
      </c>
      <c r="E1" s="5" t="s">
        <v>520</v>
      </c>
      <c r="F1" s="5" t="s">
        <v>521</v>
      </c>
      <c r="G1" s="5" t="s">
        <v>522</v>
      </c>
      <c r="H1" s="5" t="s">
        <v>523</v>
      </c>
      <c r="I1" s="5" t="s">
        <v>524</v>
      </c>
    </row>
    <row r="2" spans="1:9" x14ac:dyDescent="0.15">
      <c r="B2" s="5" t="s">
        <v>525</v>
      </c>
      <c r="C2" s="5" t="s">
        <v>526</v>
      </c>
      <c r="D2" s="5" t="s">
        <v>527</v>
      </c>
      <c r="E2" s="5" t="s">
        <v>528</v>
      </c>
      <c r="F2" s="5" t="s">
        <v>529</v>
      </c>
      <c r="G2" s="5" t="s">
        <v>530</v>
      </c>
      <c r="H2" s="5" t="s">
        <v>531</v>
      </c>
      <c r="I2" s="5" t="s">
        <v>532</v>
      </c>
    </row>
    <row r="3" spans="1:9" x14ac:dyDescent="0.15">
      <c r="A3" s="5" t="s">
        <v>42</v>
      </c>
      <c r="B3" s="5">
        <v>20</v>
      </c>
      <c r="C3" s="5">
        <v>17</v>
      </c>
      <c r="D3" s="5">
        <v>17</v>
      </c>
      <c r="E3" s="5">
        <v>17</v>
      </c>
      <c r="F3" s="5">
        <v>2</v>
      </c>
      <c r="G3" s="5">
        <v>2</v>
      </c>
      <c r="H3" s="5">
        <v>12</v>
      </c>
      <c r="I3" s="5">
        <v>12</v>
      </c>
    </row>
    <row r="4" spans="1:9" x14ac:dyDescent="0.15">
      <c r="A4" s="5" t="s">
        <v>127</v>
      </c>
      <c r="B4" s="5">
        <v>27</v>
      </c>
      <c r="C4" s="5">
        <v>18</v>
      </c>
      <c r="D4" s="5">
        <v>18</v>
      </c>
      <c r="E4" s="5">
        <v>25</v>
      </c>
      <c r="F4" s="5">
        <v>1</v>
      </c>
      <c r="G4" s="5">
        <v>0.25</v>
      </c>
      <c r="H4" s="5">
        <v>30</v>
      </c>
      <c r="I4" s="5">
        <v>120</v>
      </c>
    </row>
    <row r="5" spans="1:9" x14ac:dyDescent="0.15">
      <c r="A5" s="5" t="s">
        <v>133</v>
      </c>
      <c r="B5" s="5">
        <v>19</v>
      </c>
      <c r="C5" s="5">
        <v>16</v>
      </c>
      <c r="D5" s="5">
        <v>16</v>
      </c>
      <c r="E5" s="5">
        <v>16</v>
      </c>
      <c r="F5" s="5">
        <v>7</v>
      </c>
      <c r="G5" s="5">
        <v>2</v>
      </c>
      <c r="H5" s="5">
        <v>1.5</v>
      </c>
      <c r="I5" s="5">
        <v>1</v>
      </c>
    </row>
    <row r="6" spans="1:9" x14ac:dyDescent="0.15">
      <c r="A6" s="5" t="s">
        <v>131</v>
      </c>
      <c r="B6" s="5">
        <v>28</v>
      </c>
      <c r="C6" s="5">
        <v>17</v>
      </c>
      <c r="D6" s="5">
        <v>17</v>
      </c>
      <c r="E6" s="5">
        <v>17</v>
      </c>
      <c r="F6" s="5">
        <v>3</v>
      </c>
      <c r="G6" s="5">
        <v>2.5</v>
      </c>
      <c r="H6" s="5">
        <v>144</v>
      </c>
      <c r="I6" s="5">
        <v>144</v>
      </c>
    </row>
    <row r="7" spans="1:9" x14ac:dyDescent="0.15">
      <c r="A7" s="5" t="s">
        <v>44</v>
      </c>
      <c r="B7" s="5">
        <v>55</v>
      </c>
      <c r="C7" s="5">
        <v>15</v>
      </c>
      <c r="D7" s="5">
        <v>15</v>
      </c>
      <c r="E7" s="5">
        <v>18</v>
      </c>
      <c r="F7" s="5">
        <v>4</v>
      </c>
      <c r="G7" s="5">
        <v>54</v>
      </c>
      <c r="H7" s="5">
        <v>120</v>
      </c>
      <c r="I7" s="5">
        <v>144</v>
      </c>
    </row>
    <row r="8" spans="1:9" x14ac:dyDescent="0.15">
      <c r="A8" s="5" t="s">
        <v>108</v>
      </c>
      <c r="B8" s="5">
        <v>48</v>
      </c>
      <c r="C8" s="5">
        <v>31</v>
      </c>
      <c r="D8" s="5">
        <v>31</v>
      </c>
      <c r="E8" s="5">
        <v>31</v>
      </c>
      <c r="F8" s="5">
        <v>10</v>
      </c>
      <c r="G8" s="5">
        <v>12</v>
      </c>
      <c r="H8" s="5">
        <v>0.5</v>
      </c>
      <c r="I8" s="5">
        <v>204</v>
      </c>
    </row>
    <row r="9" spans="1:9" x14ac:dyDescent="0.15">
      <c r="A9" s="5" t="s">
        <v>54</v>
      </c>
      <c r="B9" s="5">
        <v>53</v>
      </c>
      <c r="C9" s="5">
        <v>16</v>
      </c>
      <c r="D9" s="5">
        <v>16</v>
      </c>
      <c r="E9" s="5">
        <v>20</v>
      </c>
      <c r="F9" s="5">
        <v>5</v>
      </c>
      <c r="G9" s="5">
        <v>8</v>
      </c>
      <c r="H9" s="5">
        <v>96</v>
      </c>
      <c r="I9" s="5">
        <v>96</v>
      </c>
    </row>
    <row r="10" spans="1:9" x14ac:dyDescent="0.15">
      <c r="A10" s="5" t="s">
        <v>106</v>
      </c>
      <c r="B10" s="5">
        <v>65</v>
      </c>
      <c r="C10" s="5">
        <v>27</v>
      </c>
      <c r="D10" s="5">
        <v>27</v>
      </c>
      <c r="E10" s="5">
        <v>28</v>
      </c>
      <c r="F10" s="5">
        <v>20</v>
      </c>
      <c r="G10" s="5">
        <v>18</v>
      </c>
      <c r="H10" s="5" t="s">
        <v>533</v>
      </c>
      <c r="I10" s="5" t="s">
        <v>533</v>
      </c>
    </row>
    <row r="11" spans="1:9" x14ac:dyDescent="0.15">
      <c r="A11" s="5" t="s">
        <v>73</v>
      </c>
      <c r="B11" s="5">
        <v>28</v>
      </c>
      <c r="C11" s="5">
        <v>22</v>
      </c>
      <c r="D11" s="5">
        <v>22</v>
      </c>
      <c r="E11" s="5" t="s">
        <v>534</v>
      </c>
      <c r="F11" s="5" t="s">
        <v>534</v>
      </c>
      <c r="G11" s="5" t="s">
        <v>534</v>
      </c>
      <c r="H11" s="5">
        <v>5</v>
      </c>
      <c r="I11" s="5">
        <v>5</v>
      </c>
    </row>
    <row r="12" spans="1:9" x14ac:dyDescent="0.15">
      <c r="A12" s="5" t="s">
        <v>82</v>
      </c>
      <c r="B12" s="5">
        <v>31</v>
      </c>
      <c r="C12" s="5">
        <v>25</v>
      </c>
      <c r="D12" s="5">
        <v>25</v>
      </c>
      <c r="E12" s="5">
        <v>25</v>
      </c>
      <c r="F12" s="5">
        <v>3</v>
      </c>
      <c r="G12" s="5" t="s">
        <v>535</v>
      </c>
      <c r="H12" s="5">
        <v>36</v>
      </c>
      <c r="I12" s="5">
        <v>36</v>
      </c>
    </row>
    <row r="13" spans="1:9" x14ac:dyDescent="0.15">
      <c r="A13" s="5" t="s">
        <v>114</v>
      </c>
      <c r="B13" s="5">
        <v>52</v>
      </c>
      <c r="C13" s="5">
        <v>20</v>
      </c>
      <c r="D13" s="5">
        <v>20</v>
      </c>
      <c r="E13" s="5">
        <v>20</v>
      </c>
      <c r="F13" s="5">
        <v>3</v>
      </c>
      <c r="G13" s="5">
        <v>3</v>
      </c>
      <c r="H13" s="5">
        <v>60</v>
      </c>
      <c r="I13" s="5">
        <v>60</v>
      </c>
    </row>
    <row r="14" spans="1:9" x14ac:dyDescent="0.15">
      <c r="A14" s="5" t="s">
        <v>137</v>
      </c>
      <c r="B14" s="5">
        <v>28</v>
      </c>
      <c r="C14" s="5">
        <v>22</v>
      </c>
      <c r="D14" s="5">
        <v>22</v>
      </c>
      <c r="E14" s="5">
        <v>23</v>
      </c>
      <c r="F14" s="5">
        <v>2</v>
      </c>
      <c r="G14" s="5">
        <v>0.75</v>
      </c>
      <c r="H14" s="5">
        <v>36</v>
      </c>
      <c r="I14" s="5">
        <v>72</v>
      </c>
    </row>
    <row r="15" spans="1:9" x14ac:dyDescent="0.15">
      <c r="A15" s="5" t="s">
        <v>79</v>
      </c>
      <c r="B15" s="5">
        <v>32</v>
      </c>
      <c r="C15" s="5">
        <v>19</v>
      </c>
      <c r="D15" s="5">
        <v>19</v>
      </c>
      <c r="E15" s="5">
        <v>19</v>
      </c>
      <c r="F15" s="5">
        <v>4</v>
      </c>
      <c r="G15" s="5">
        <v>4</v>
      </c>
      <c r="H15" s="5">
        <v>48</v>
      </c>
      <c r="I15" s="5">
        <v>48</v>
      </c>
    </row>
    <row r="16" spans="1:9" x14ac:dyDescent="0.15">
      <c r="A16" s="5" t="s">
        <v>262</v>
      </c>
      <c r="B16" s="5">
        <v>34</v>
      </c>
    </row>
    <row r="17" spans="1:9" x14ac:dyDescent="0.15">
      <c r="A17" s="5" t="s">
        <v>270</v>
      </c>
      <c r="B17" s="5">
        <v>31</v>
      </c>
    </row>
    <row r="18" spans="1:9" x14ac:dyDescent="0.15">
      <c r="A18" s="5" t="s">
        <v>77</v>
      </c>
      <c r="B18" s="5">
        <v>47</v>
      </c>
      <c r="C18" s="5">
        <v>27</v>
      </c>
      <c r="D18" s="5">
        <v>12</v>
      </c>
      <c r="E18" s="5">
        <v>27</v>
      </c>
      <c r="F18" s="5">
        <v>13</v>
      </c>
      <c r="G18" s="5">
        <v>13</v>
      </c>
      <c r="H18" s="5">
        <v>62</v>
      </c>
      <c r="I18" s="5">
        <v>62</v>
      </c>
    </row>
    <row r="19" spans="1:9" x14ac:dyDescent="0.15">
      <c r="A19" s="5" t="s">
        <v>84</v>
      </c>
      <c r="B19" s="5">
        <v>49</v>
      </c>
      <c r="D19" s="5">
        <v>28</v>
      </c>
      <c r="E19" s="5">
        <v>29</v>
      </c>
      <c r="F19" s="5">
        <v>8</v>
      </c>
      <c r="G19" s="5">
        <v>8</v>
      </c>
      <c r="H19" s="5">
        <v>12</v>
      </c>
      <c r="I19" s="5">
        <v>12</v>
      </c>
    </row>
    <row r="20" spans="1:9" x14ac:dyDescent="0.15">
      <c r="A20" s="5" t="s">
        <v>307</v>
      </c>
      <c r="B20" s="5">
        <v>30</v>
      </c>
      <c r="C20" s="5">
        <v>9999</v>
      </c>
      <c r="D20" s="5">
        <v>9999</v>
      </c>
      <c r="E20" s="5">
        <v>9999</v>
      </c>
      <c r="F20" s="5">
        <v>9999</v>
      </c>
      <c r="G20" s="5">
        <v>9999</v>
      </c>
      <c r="H20" s="5">
        <v>9999</v>
      </c>
      <c r="I20" s="5">
        <v>9999</v>
      </c>
    </row>
    <row r="21" spans="1:9" x14ac:dyDescent="0.15">
      <c r="A21" s="5" t="s">
        <v>279</v>
      </c>
      <c r="B21" s="5">
        <v>47</v>
      </c>
      <c r="C21" s="5" t="s">
        <v>536</v>
      </c>
      <c r="D21" s="5" t="s">
        <v>536</v>
      </c>
      <c r="E21" s="5" t="s">
        <v>536</v>
      </c>
      <c r="F21" s="5" t="s">
        <v>536</v>
      </c>
      <c r="G21" s="5" t="s">
        <v>536</v>
      </c>
      <c r="H21" s="5" t="s">
        <v>536</v>
      </c>
      <c r="I21" s="5" t="s">
        <v>536</v>
      </c>
    </row>
    <row r="22" spans="1:9" x14ac:dyDescent="0.15">
      <c r="A22" s="5" t="s">
        <v>214</v>
      </c>
      <c r="B22" s="5">
        <v>44</v>
      </c>
    </row>
    <row r="23" spans="1:9" x14ac:dyDescent="0.15">
      <c r="A23" s="5" t="s">
        <v>197</v>
      </c>
      <c r="B23" s="5">
        <v>22</v>
      </c>
    </row>
    <row r="24" spans="1:9" x14ac:dyDescent="0.15">
      <c r="A24" s="5" t="s">
        <v>63</v>
      </c>
      <c r="B24" s="5">
        <v>21</v>
      </c>
      <c r="C24" s="5">
        <v>15</v>
      </c>
      <c r="D24" s="5">
        <v>15</v>
      </c>
      <c r="E24" s="5">
        <v>19</v>
      </c>
      <c r="F24" s="5">
        <v>3</v>
      </c>
      <c r="G24" s="5">
        <v>2</v>
      </c>
      <c r="H24" s="5">
        <v>6</v>
      </c>
      <c r="I24" s="5">
        <v>12</v>
      </c>
    </row>
    <row r="25" spans="1:9" x14ac:dyDescent="0.15">
      <c r="A25" s="5" t="s">
        <v>141</v>
      </c>
      <c r="B25" s="5">
        <v>23</v>
      </c>
      <c r="C25" s="5">
        <v>21</v>
      </c>
      <c r="D25" s="5">
        <v>21</v>
      </c>
      <c r="E25" s="5">
        <v>21</v>
      </c>
      <c r="F25" s="5">
        <v>1</v>
      </c>
      <c r="G25" s="5">
        <v>2.5</v>
      </c>
      <c r="H25" s="5">
        <v>18</v>
      </c>
      <c r="I25" s="5">
        <v>18</v>
      </c>
    </row>
    <row r="26" spans="1:9" x14ac:dyDescent="0.15">
      <c r="A26" s="5" t="s">
        <v>199</v>
      </c>
      <c r="B26" s="5">
        <v>48</v>
      </c>
    </row>
    <row r="27" spans="1:9" x14ac:dyDescent="0.15">
      <c r="A27" s="5" t="s">
        <v>281</v>
      </c>
      <c r="B27" s="5">
        <v>42</v>
      </c>
      <c r="C27" s="5" t="s">
        <v>536</v>
      </c>
      <c r="D27" s="5" t="s">
        <v>536</v>
      </c>
      <c r="E27" s="5" t="s">
        <v>536</v>
      </c>
      <c r="F27" s="5" t="s">
        <v>536</v>
      </c>
      <c r="G27" s="5" t="s">
        <v>536</v>
      </c>
      <c r="H27" s="5" t="s">
        <v>536</v>
      </c>
      <c r="I27" s="5" t="s">
        <v>536</v>
      </c>
    </row>
    <row r="28" spans="1:9" x14ac:dyDescent="0.15">
      <c r="A28" s="5" t="s">
        <v>104</v>
      </c>
      <c r="B28" s="5">
        <v>33</v>
      </c>
      <c r="C28" s="5">
        <v>25</v>
      </c>
      <c r="D28" s="5">
        <v>25</v>
      </c>
      <c r="E28" s="5">
        <v>25</v>
      </c>
      <c r="F28" s="5">
        <v>2</v>
      </c>
      <c r="G28" s="5">
        <v>1.05</v>
      </c>
      <c r="H28" s="5">
        <v>24</v>
      </c>
      <c r="I28" s="5">
        <v>96</v>
      </c>
    </row>
    <row r="29" spans="1:9" x14ac:dyDescent="0.15">
      <c r="A29" s="5" t="s">
        <v>259</v>
      </c>
      <c r="B29" s="5">
        <v>44</v>
      </c>
    </row>
    <row r="30" spans="1:9" x14ac:dyDescent="0.15">
      <c r="A30" s="5" t="s">
        <v>276</v>
      </c>
      <c r="B30" s="5">
        <v>48</v>
      </c>
      <c r="C30" s="5" t="s">
        <v>536</v>
      </c>
      <c r="D30" s="5" t="s">
        <v>536</v>
      </c>
      <c r="E30" s="5" t="s">
        <v>536</v>
      </c>
      <c r="F30" s="5" t="s">
        <v>536</v>
      </c>
      <c r="G30" s="5" t="s">
        <v>536</v>
      </c>
      <c r="H30" s="5" t="s">
        <v>536</v>
      </c>
      <c r="I30" s="5" t="s">
        <v>536</v>
      </c>
    </row>
    <row r="31" spans="1:9" x14ac:dyDescent="0.15">
      <c r="A31" s="5" t="s">
        <v>110</v>
      </c>
      <c r="B31" s="5">
        <v>64</v>
      </c>
      <c r="C31" s="5">
        <v>35</v>
      </c>
      <c r="D31" s="5">
        <v>35</v>
      </c>
      <c r="E31" s="5" t="s">
        <v>533</v>
      </c>
      <c r="F31" s="5">
        <v>2</v>
      </c>
      <c r="G31" s="5" t="s">
        <v>533</v>
      </c>
      <c r="H31" s="5">
        <v>36</v>
      </c>
      <c r="I31" s="5">
        <v>36</v>
      </c>
    </row>
    <row r="32" spans="1:9" x14ac:dyDescent="0.15">
      <c r="A32" s="5" t="s">
        <v>59</v>
      </c>
      <c r="B32" s="5">
        <v>20</v>
      </c>
      <c r="C32" s="5">
        <v>5</v>
      </c>
      <c r="D32" s="5">
        <v>15</v>
      </c>
      <c r="E32" s="5">
        <v>5</v>
      </c>
      <c r="F32" s="5">
        <v>3</v>
      </c>
      <c r="G32" s="5">
        <v>5</v>
      </c>
      <c r="H32" s="5">
        <v>24</v>
      </c>
      <c r="I32" s="5">
        <v>36</v>
      </c>
    </row>
    <row r="33" spans="1:9" x14ac:dyDescent="0.15">
      <c r="A33" s="5" t="s">
        <v>261</v>
      </c>
      <c r="B33" s="5">
        <v>43</v>
      </c>
    </row>
    <row r="34" spans="1:9" x14ac:dyDescent="0.15">
      <c r="A34" s="5" t="s">
        <v>255</v>
      </c>
      <c r="B34" s="5">
        <v>43</v>
      </c>
      <c r="C34" s="5">
        <v>9999</v>
      </c>
      <c r="D34" s="5">
        <v>9999</v>
      </c>
      <c r="E34" s="5">
        <v>9999</v>
      </c>
      <c r="F34" s="5">
        <v>9999</v>
      </c>
      <c r="G34" s="5">
        <v>9999</v>
      </c>
      <c r="H34" s="5">
        <v>9999</v>
      </c>
      <c r="I34" s="5">
        <v>9999</v>
      </c>
    </row>
    <row r="35" spans="1:9" x14ac:dyDescent="0.15">
      <c r="A35" s="5" t="s">
        <v>34</v>
      </c>
      <c r="B35" s="5">
        <v>31</v>
      </c>
      <c r="C35" s="5">
        <v>23</v>
      </c>
      <c r="D35" s="5">
        <v>22</v>
      </c>
      <c r="E35" s="5">
        <v>23</v>
      </c>
      <c r="F35" s="5">
        <v>3</v>
      </c>
      <c r="G35" s="5">
        <v>3</v>
      </c>
      <c r="H35" s="5">
        <v>23</v>
      </c>
      <c r="I35" s="5">
        <v>23</v>
      </c>
    </row>
    <row r="36" spans="1:9" x14ac:dyDescent="0.15">
      <c r="A36" s="5" t="s">
        <v>179</v>
      </c>
      <c r="B36" s="5">
        <v>31</v>
      </c>
    </row>
    <row r="37" spans="1:9" x14ac:dyDescent="0.15">
      <c r="A37" s="5" t="s">
        <v>36</v>
      </c>
      <c r="B37" s="5">
        <v>29</v>
      </c>
      <c r="C37" s="5">
        <v>20</v>
      </c>
      <c r="D37" s="5">
        <v>20</v>
      </c>
      <c r="E37" s="5">
        <v>23</v>
      </c>
      <c r="F37" s="5">
        <v>18</v>
      </c>
      <c r="G37" s="5">
        <v>9</v>
      </c>
      <c r="H37" s="5">
        <v>5</v>
      </c>
      <c r="I37" s="5">
        <v>24</v>
      </c>
    </row>
    <row r="38" spans="1:9" x14ac:dyDescent="0.15">
      <c r="A38" s="5" t="s">
        <v>299</v>
      </c>
      <c r="B38" s="5">
        <v>30</v>
      </c>
      <c r="C38" s="5">
        <v>9999</v>
      </c>
      <c r="D38" s="5">
        <v>9999</v>
      </c>
      <c r="E38" s="5">
        <v>9999</v>
      </c>
      <c r="F38" s="5">
        <v>9999</v>
      </c>
      <c r="G38" s="5">
        <v>9999</v>
      </c>
      <c r="H38" s="5">
        <v>9999</v>
      </c>
      <c r="I38" s="5">
        <v>9999</v>
      </c>
    </row>
    <row r="39" spans="1:9" x14ac:dyDescent="0.15">
      <c r="A39" s="5" t="s">
        <v>250</v>
      </c>
      <c r="B39" s="5">
        <v>26</v>
      </c>
      <c r="C39" s="5" t="s">
        <v>536</v>
      </c>
      <c r="D39" s="5" t="s">
        <v>536</v>
      </c>
      <c r="E39" s="5" t="s">
        <v>536</v>
      </c>
      <c r="F39" s="5" t="s">
        <v>536</v>
      </c>
      <c r="G39" s="5" t="s">
        <v>536</v>
      </c>
      <c r="H39" s="5" t="s">
        <v>536</v>
      </c>
      <c r="I39" s="5" t="s">
        <v>536</v>
      </c>
    </row>
    <row r="40" spans="1:9" x14ac:dyDescent="0.15">
      <c r="A40" s="5" t="s">
        <v>120</v>
      </c>
      <c r="B40" s="5">
        <v>24</v>
      </c>
      <c r="C40" s="5">
        <v>15</v>
      </c>
      <c r="D40" s="5">
        <v>15</v>
      </c>
      <c r="E40" s="5">
        <v>15</v>
      </c>
      <c r="F40" s="5">
        <v>6</v>
      </c>
      <c r="G40" s="5">
        <v>13</v>
      </c>
      <c r="H40" s="5">
        <v>60</v>
      </c>
      <c r="I40" s="5">
        <v>60</v>
      </c>
    </row>
    <row r="41" spans="1:9" x14ac:dyDescent="0.15">
      <c r="A41" s="5" t="s">
        <v>301</v>
      </c>
      <c r="B41" s="5">
        <v>53</v>
      </c>
      <c r="C41" s="5">
        <v>9999</v>
      </c>
      <c r="D41" s="5">
        <v>9999</v>
      </c>
      <c r="E41" s="5">
        <v>9999</v>
      </c>
      <c r="F41" s="5">
        <v>9999</v>
      </c>
      <c r="G41" s="5">
        <v>9999</v>
      </c>
      <c r="H41" s="5">
        <v>9999</v>
      </c>
      <c r="I41" s="5">
        <v>9999</v>
      </c>
    </row>
    <row r="42" spans="1:9" x14ac:dyDescent="0.15">
      <c r="A42" s="5" t="s">
        <v>118</v>
      </c>
      <c r="B42" s="5">
        <v>51</v>
      </c>
      <c r="C42" s="5">
        <v>38</v>
      </c>
      <c r="D42" s="5">
        <v>30</v>
      </c>
      <c r="E42" s="5">
        <v>38</v>
      </c>
      <c r="F42" s="5" t="s">
        <v>537</v>
      </c>
      <c r="H42" s="5">
        <v>0.5</v>
      </c>
      <c r="I42" s="5">
        <v>0.5</v>
      </c>
    </row>
    <row r="43" spans="1:9" x14ac:dyDescent="0.15">
      <c r="A43" s="5" t="s">
        <v>100</v>
      </c>
      <c r="B43" s="5">
        <v>63</v>
      </c>
      <c r="C43" s="5">
        <v>61</v>
      </c>
      <c r="D43" s="5">
        <v>35</v>
      </c>
      <c r="E43" s="5">
        <v>0</v>
      </c>
      <c r="F43" s="5">
        <v>0</v>
      </c>
      <c r="G43" s="5">
        <v>0</v>
      </c>
      <c r="H43" s="5">
        <v>0</v>
      </c>
      <c r="I43" s="5">
        <v>32</v>
      </c>
    </row>
    <row r="44" spans="1:9" x14ac:dyDescent="0.15">
      <c r="A44" s="5" t="s">
        <v>88</v>
      </c>
      <c r="B44" s="5">
        <v>62</v>
      </c>
      <c r="C44" s="5">
        <v>25</v>
      </c>
      <c r="D44" s="5">
        <v>24</v>
      </c>
      <c r="E44" s="5">
        <v>25</v>
      </c>
      <c r="F44" s="5">
        <v>30</v>
      </c>
      <c r="G44" s="5">
        <v>12</v>
      </c>
      <c r="H44" s="5">
        <v>13</v>
      </c>
      <c r="I44" s="5">
        <v>444</v>
      </c>
    </row>
    <row r="45" spans="1:9" x14ac:dyDescent="0.15">
      <c r="A45" s="5" t="s">
        <v>94</v>
      </c>
      <c r="B45" s="5">
        <v>40</v>
      </c>
      <c r="C45" s="5">
        <v>17</v>
      </c>
      <c r="D45" s="5">
        <v>17</v>
      </c>
      <c r="E45" s="5">
        <v>22</v>
      </c>
      <c r="F45" s="5">
        <v>20</v>
      </c>
      <c r="G45" s="5">
        <v>15</v>
      </c>
      <c r="H45" s="5">
        <v>7</v>
      </c>
      <c r="I45" s="5">
        <v>192</v>
      </c>
    </row>
    <row r="46" spans="1:9" x14ac:dyDescent="0.15">
      <c r="A46" s="5" t="s">
        <v>237</v>
      </c>
      <c r="B46" s="5">
        <v>38</v>
      </c>
      <c r="C46" s="5" t="s">
        <v>536</v>
      </c>
      <c r="D46" s="5" t="s">
        <v>536</v>
      </c>
      <c r="E46" s="5" t="s">
        <v>536</v>
      </c>
      <c r="F46" s="5" t="s">
        <v>536</v>
      </c>
      <c r="G46" s="5" t="s">
        <v>536</v>
      </c>
      <c r="H46" s="5" t="s">
        <v>536</v>
      </c>
      <c r="I46" s="5" t="s">
        <v>536</v>
      </c>
    </row>
    <row r="47" spans="1:9" x14ac:dyDescent="0.15">
      <c r="A47" s="5" t="s">
        <v>112</v>
      </c>
      <c r="B47" s="5">
        <v>48</v>
      </c>
      <c r="C47" s="5">
        <v>36</v>
      </c>
      <c r="D47" s="5">
        <v>35</v>
      </c>
      <c r="E47" s="5">
        <v>36</v>
      </c>
      <c r="F47" s="5">
        <v>1</v>
      </c>
      <c r="G47" s="5">
        <v>0.25</v>
      </c>
      <c r="H47" s="5">
        <v>140</v>
      </c>
      <c r="I47" s="5">
        <v>140</v>
      </c>
    </row>
    <row r="48" spans="1:9" x14ac:dyDescent="0.15">
      <c r="A48" s="5" t="s">
        <v>203</v>
      </c>
      <c r="B48" s="5">
        <v>30</v>
      </c>
    </row>
    <row r="49" spans="1:9" x14ac:dyDescent="0.15">
      <c r="A49" s="5" t="s">
        <v>153</v>
      </c>
      <c r="B49" s="5">
        <v>18</v>
      </c>
      <c r="C49" s="5">
        <v>17</v>
      </c>
      <c r="D49" s="5">
        <v>17</v>
      </c>
      <c r="E49" s="5">
        <v>17</v>
      </c>
      <c r="F49" s="5">
        <v>4</v>
      </c>
      <c r="G49" s="5">
        <v>6</v>
      </c>
      <c r="H49" s="5">
        <v>8</v>
      </c>
      <c r="I49" s="5">
        <v>108</v>
      </c>
    </row>
    <row r="50" spans="1:9" x14ac:dyDescent="0.15">
      <c r="A50" s="5" t="s">
        <v>69</v>
      </c>
      <c r="B50" s="5">
        <v>37</v>
      </c>
      <c r="C50" s="5">
        <v>22</v>
      </c>
      <c r="D50" s="5">
        <v>20</v>
      </c>
      <c r="E50" s="5">
        <v>22</v>
      </c>
      <c r="F50" s="5">
        <v>5</v>
      </c>
      <c r="G50" s="5">
        <v>2</v>
      </c>
      <c r="H50" s="5">
        <v>5</v>
      </c>
      <c r="I50" s="5">
        <v>360</v>
      </c>
    </row>
    <row r="51" spans="1:9" x14ac:dyDescent="0.15">
      <c r="A51" s="5" t="s">
        <v>252</v>
      </c>
      <c r="B51" s="5">
        <v>31</v>
      </c>
      <c r="C51" s="5" t="s">
        <v>536</v>
      </c>
      <c r="D51" s="5" t="s">
        <v>536</v>
      </c>
      <c r="E51" s="5" t="s">
        <v>536</v>
      </c>
      <c r="F51" s="5" t="s">
        <v>536</v>
      </c>
      <c r="G51" s="5" t="s">
        <v>536</v>
      </c>
      <c r="H51" s="5" t="s">
        <v>536</v>
      </c>
      <c r="I51" s="5" t="s">
        <v>536</v>
      </c>
    </row>
    <row r="52" spans="1:9" x14ac:dyDescent="0.15">
      <c r="A52" s="5" t="s">
        <v>149</v>
      </c>
      <c r="B52" s="5">
        <v>44</v>
      </c>
      <c r="C52" s="5">
        <v>25</v>
      </c>
      <c r="D52" s="5">
        <v>25</v>
      </c>
      <c r="E52" s="5">
        <v>25</v>
      </c>
      <c r="F52" s="5">
        <v>1</v>
      </c>
      <c r="G52" s="5">
        <v>0.1</v>
      </c>
      <c r="H52" s="5">
        <v>228</v>
      </c>
      <c r="I52" s="5">
        <v>228</v>
      </c>
    </row>
    <row r="53" spans="1:9" x14ac:dyDescent="0.15">
      <c r="A53" s="5" t="s">
        <v>241</v>
      </c>
      <c r="B53" s="5">
        <v>36</v>
      </c>
      <c r="C53" s="5" t="s">
        <v>536</v>
      </c>
      <c r="D53" s="5" t="s">
        <v>536</v>
      </c>
      <c r="E53" s="5" t="s">
        <v>536</v>
      </c>
      <c r="F53" s="5" t="s">
        <v>536</v>
      </c>
      <c r="G53" s="5" t="s">
        <v>536</v>
      </c>
      <c r="H53" s="5" t="s">
        <v>536</v>
      </c>
      <c r="I53" s="5" t="s">
        <v>536</v>
      </c>
    </row>
    <row r="54" spans="1:9" x14ac:dyDescent="0.15">
      <c r="A54" s="5" t="s">
        <v>247</v>
      </c>
      <c r="B54" s="5">
        <v>23</v>
      </c>
      <c r="C54" s="5" t="s">
        <v>536</v>
      </c>
      <c r="D54" s="5" t="s">
        <v>536</v>
      </c>
      <c r="E54" s="5" t="s">
        <v>536</v>
      </c>
      <c r="F54" s="5" t="s">
        <v>536</v>
      </c>
      <c r="G54" s="5" t="s">
        <v>536</v>
      </c>
      <c r="H54" s="5" t="s">
        <v>536</v>
      </c>
      <c r="I54" s="5" t="s">
        <v>536</v>
      </c>
    </row>
    <row r="55" spans="1:9" x14ac:dyDescent="0.15">
      <c r="A55" s="5" t="s">
        <v>245</v>
      </c>
      <c r="B55" s="5">
        <v>22</v>
      </c>
      <c r="C55" s="5" t="s">
        <v>536</v>
      </c>
      <c r="D55" s="5" t="s">
        <v>536</v>
      </c>
      <c r="E55" s="5" t="s">
        <v>536</v>
      </c>
      <c r="F55" s="5" t="s">
        <v>536</v>
      </c>
      <c r="G55" s="5" t="s">
        <v>536</v>
      </c>
      <c r="H55" s="5" t="s">
        <v>536</v>
      </c>
      <c r="I55" s="5" t="s">
        <v>536</v>
      </c>
    </row>
    <row r="56" spans="1:9" x14ac:dyDescent="0.15">
      <c r="A56" s="5" t="s">
        <v>233</v>
      </c>
      <c r="B56" s="5">
        <v>24</v>
      </c>
      <c r="C56" s="5" t="s">
        <v>536</v>
      </c>
      <c r="D56" s="5" t="s">
        <v>536</v>
      </c>
      <c r="E56" s="5" t="s">
        <v>536</v>
      </c>
      <c r="F56" s="5" t="s">
        <v>536</v>
      </c>
      <c r="G56" s="5" t="s">
        <v>536</v>
      </c>
      <c r="H56" s="5" t="s">
        <v>536</v>
      </c>
      <c r="I56" s="5" t="s">
        <v>536</v>
      </c>
    </row>
    <row r="57" spans="1:9" x14ac:dyDescent="0.15">
      <c r="A57" s="5" t="s">
        <v>231</v>
      </c>
      <c r="B57" s="5">
        <v>52</v>
      </c>
    </row>
    <row r="58" spans="1:9" x14ac:dyDescent="0.15">
      <c r="A58" s="5" t="s">
        <v>227</v>
      </c>
      <c r="B58" s="5">
        <v>30</v>
      </c>
    </row>
    <row r="59" spans="1:9" x14ac:dyDescent="0.15">
      <c r="A59" s="5" t="s">
        <v>220</v>
      </c>
      <c r="B59" s="5">
        <v>27</v>
      </c>
    </row>
    <row r="60" spans="1:9" x14ac:dyDescent="0.15">
      <c r="A60" s="5" t="s">
        <v>174</v>
      </c>
      <c r="B60" s="5">
        <v>36</v>
      </c>
      <c r="C60" s="5">
        <v>9999</v>
      </c>
      <c r="D60" s="5">
        <v>9999</v>
      </c>
      <c r="E60" s="5">
        <v>9999</v>
      </c>
      <c r="F60" s="5">
        <v>9999</v>
      </c>
      <c r="G60" s="5">
        <v>9999</v>
      </c>
      <c r="H60" s="5">
        <v>9999</v>
      </c>
      <c r="I60" s="5">
        <v>9999</v>
      </c>
    </row>
    <row r="61" spans="1:9" x14ac:dyDescent="0.15">
      <c r="A61" s="5" t="s">
        <v>211</v>
      </c>
      <c r="B61" s="5">
        <v>27</v>
      </c>
    </row>
    <row r="62" spans="1:9" x14ac:dyDescent="0.15">
      <c r="A62" s="5" t="s">
        <v>56</v>
      </c>
      <c r="B62" s="5">
        <v>25</v>
      </c>
      <c r="C62" s="5">
        <v>18</v>
      </c>
      <c r="D62" s="5">
        <v>18</v>
      </c>
      <c r="E62" s="5">
        <v>22</v>
      </c>
      <c r="F62" s="5">
        <v>1</v>
      </c>
      <c r="G62" s="5">
        <v>3</v>
      </c>
      <c r="H62" s="5">
        <v>36</v>
      </c>
      <c r="I62" s="5">
        <v>84</v>
      </c>
    </row>
    <row r="63" spans="1:9" x14ac:dyDescent="0.15">
      <c r="A63" s="5" t="s">
        <v>58</v>
      </c>
      <c r="B63" s="5">
        <v>41</v>
      </c>
      <c r="C63" s="5">
        <v>16</v>
      </c>
      <c r="D63" s="5">
        <v>18</v>
      </c>
      <c r="E63" s="5">
        <v>18</v>
      </c>
      <c r="F63" s="5">
        <v>3</v>
      </c>
      <c r="G63" s="5">
        <v>3</v>
      </c>
      <c r="H63" s="5">
        <v>120</v>
      </c>
      <c r="I63" s="5">
        <v>120</v>
      </c>
    </row>
    <row r="64" spans="1:9" x14ac:dyDescent="0.15">
      <c r="A64" s="5" t="s">
        <v>208</v>
      </c>
      <c r="B64" s="5">
        <v>18</v>
      </c>
      <c r="C64" s="5">
        <v>9999</v>
      </c>
      <c r="D64" s="5">
        <v>9999</v>
      </c>
      <c r="E64" s="5">
        <v>9999</v>
      </c>
      <c r="F64" s="5">
        <v>9999</v>
      </c>
      <c r="G64" s="5">
        <v>9999</v>
      </c>
      <c r="H64" s="5">
        <v>9999</v>
      </c>
      <c r="I64" s="5">
        <v>9999</v>
      </c>
    </row>
    <row r="65" spans="1:9" x14ac:dyDescent="0.15">
      <c r="A65" s="5" t="s">
        <v>303</v>
      </c>
      <c r="B65" s="5">
        <v>50</v>
      </c>
      <c r="C65" s="5">
        <v>9999</v>
      </c>
      <c r="D65" s="5">
        <v>9999</v>
      </c>
      <c r="E65" s="5">
        <v>9999</v>
      </c>
      <c r="F65" s="5">
        <v>9999</v>
      </c>
      <c r="G65" s="5">
        <v>9999</v>
      </c>
      <c r="H65" s="5">
        <v>9999</v>
      </c>
      <c r="I65" s="5">
        <v>9999</v>
      </c>
    </row>
    <row r="66" spans="1:9" x14ac:dyDescent="0.15">
      <c r="A66" s="5" t="s">
        <v>201</v>
      </c>
      <c r="B66" s="5">
        <v>37</v>
      </c>
    </row>
    <row r="67" spans="1:9" x14ac:dyDescent="0.15">
      <c r="A67" s="5" t="s">
        <v>46</v>
      </c>
      <c r="B67" s="5">
        <v>56</v>
      </c>
      <c r="C67" s="5">
        <v>47</v>
      </c>
      <c r="D67" s="5">
        <v>47</v>
      </c>
      <c r="E67" s="5">
        <v>47</v>
      </c>
      <c r="F67" s="5">
        <v>2</v>
      </c>
      <c r="G67" s="5">
        <v>2</v>
      </c>
      <c r="H67" s="5">
        <v>108</v>
      </c>
      <c r="I67" s="5">
        <v>108</v>
      </c>
    </row>
    <row r="68" spans="1:9" x14ac:dyDescent="0.15">
      <c r="A68" s="5" t="s">
        <v>189</v>
      </c>
      <c r="B68" s="5">
        <v>22</v>
      </c>
      <c r="C68" s="5">
        <v>9999</v>
      </c>
      <c r="D68" s="5">
        <v>9999</v>
      </c>
      <c r="E68" s="5">
        <v>9999</v>
      </c>
      <c r="F68" s="5">
        <v>9999</v>
      </c>
      <c r="G68" s="5">
        <v>9999</v>
      </c>
      <c r="H68" s="5">
        <v>9999</v>
      </c>
      <c r="I68" s="5">
        <v>9999</v>
      </c>
    </row>
    <row r="69" spans="1:9" x14ac:dyDescent="0.15">
      <c r="A69" s="5" t="s">
        <v>183</v>
      </c>
      <c r="B69" s="5">
        <v>62</v>
      </c>
    </row>
    <row r="70" spans="1:9" x14ac:dyDescent="0.15">
      <c r="A70" s="5" t="s">
        <v>182</v>
      </c>
      <c r="B70" s="5">
        <v>33</v>
      </c>
    </row>
    <row r="71" spans="1:9" x14ac:dyDescent="0.15">
      <c r="A71" s="5" t="s">
        <v>185</v>
      </c>
      <c r="B71" s="5">
        <v>24</v>
      </c>
    </row>
    <row r="72" spans="1:9" x14ac:dyDescent="0.15">
      <c r="A72" s="5" t="s">
        <v>180</v>
      </c>
      <c r="B72" s="5">
        <v>58</v>
      </c>
    </row>
    <row r="73" spans="1:9" x14ac:dyDescent="0.15">
      <c r="A73" s="5" t="s">
        <v>147</v>
      </c>
      <c r="B73" s="5">
        <v>51</v>
      </c>
      <c r="C73" s="5">
        <v>18</v>
      </c>
      <c r="D73" s="5">
        <v>18</v>
      </c>
      <c r="E73" s="5">
        <v>19</v>
      </c>
      <c r="F73" s="5">
        <v>7</v>
      </c>
      <c r="G73" s="5">
        <v>22</v>
      </c>
      <c r="H73" s="5">
        <v>84</v>
      </c>
      <c r="I73" s="5">
        <v>384</v>
      </c>
    </row>
    <row r="74" spans="1:9" x14ac:dyDescent="0.15">
      <c r="A74" s="5" t="s">
        <v>171</v>
      </c>
      <c r="B74" s="5">
        <v>25</v>
      </c>
      <c r="C74" s="5">
        <v>24</v>
      </c>
      <c r="D74" s="5">
        <v>24</v>
      </c>
      <c r="E74" s="5">
        <v>24</v>
      </c>
      <c r="F74" s="5">
        <v>1</v>
      </c>
      <c r="G74" s="5">
        <v>1</v>
      </c>
      <c r="H74" s="5">
        <v>13</v>
      </c>
      <c r="I74" s="5">
        <v>13</v>
      </c>
    </row>
    <row r="75" spans="1:9" x14ac:dyDescent="0.15">
      <c r="A75" s="5" t="s">
        <v>145</v>
      </c>
      <c r="B75" s="5">
        <v>23</v>
      </c>
      <c r="C75" s="5">
        <v>19</v>
      </c>
      <c r="D75" s="5">
        <v>19</v>
      </c>
      <c r="E75" s="5">
        <v>19</v>
      </c>
      <c r="F75" s="5">
        <v>2</v>
      </c>
      <c r="G75" s="5">
        <v>1</v>
      </c>
      <c r="H75" s="5">
        <v>8</v>
      </c>
      <c r="I75" s="5">
        <v>36</v>
      </c>
    </row>
    <row r="76" spans="1:9" x14ac:dyDescent="0.15">
      <c r="A76" s="5" t="s">
        <v>295</v>
      </c>
      <c r="B76" s="5">
        <v>34</v>
      </c>
      <c r="C76" s="5">
        <v>9999</v>
      </c>
      <c r="D76" s="5">
        <v>9999</v>
      </c>
      <c r="E76" s="5">
        <v>9999</v>
      </c>
      <c r="F76" s="5">
        <v>9999</v>
      </c>
      <c r="G76" s="5">
        <v>9999</v>
      </c>
      <c r="H76" s="5">
        <v>9999</v>
      </c>
      <c r="I76" s="5">
        <v>9999</v>
      </c>
    </row>
    <row r="77" spans="1:9" x14ac:dyDescent="0.15">
      <c r="A77" s="5" t="s">
        <v>157</v>
      </c>
      <c r="B77" s="5">
        <v>40</v>
      </c>
      <c r="C77" s="5">
        <v>25</v>
      </c>
      <c r="D77" s="5">
        <v>24</v>
      </c>
      <c r="E77" s="5">
        <v>25</v>
      </c>
      <c r="F77" s="5" t="s">
        <v>534</v>
      </c>
      <c r="G77" s="5" t="s">
        <v>534</v>
      </c>
      <c r="H77" s="5" t="s">
        <v>534</v>
      </c>
      <c r="I77" s="5">
        <v>180</v>
      </c>
    </row>
    <row r="78" spans="1:9" x14ac:dyDescent="0.15">
      <c r="A78" s="5" t="s">
        <v>305</v>
      </c>
      <c r="B78" s="5">
        <v>52</v>
      </c>
      <c r="C78" s="5">
        <v>9999</v>
      </c>
      <c r="D78" s="5">
        <v>9999</v>
      </c>
      <c r="E78" s="5">
        <v>9999</v>
      </c>
      <c r="F78" s="5">
        <v>9999</v>
      </c>
      <c r="G78" s="5">
        <v>9999</v>
      </c>
      <c r="H78" s="5">
        <v>9999</v>
      </c>
      <c r="I78" s="5">
        <v>9999</v>
      </c>
    </row>
    <row r="79" spans="1:9" x14ac:dyDescent="0.15">
      <c r="A79" s="5" t="s">
        <v>163</v>
      </c>
      <c r="B79" s="5">
        <v>28</v>
      </c>
      <c r="C79" s="5">
        <v>21</v>
      </c>
      <c r="D79" s="5">
        <v>21</v>
      </c>
      <c r="E79" s="5">
        <v>21</v>
      </c>
      <c r="F79" s="5">
        <v>1</v>
      </c>
      <c r="G79" s="5">
        <v>0.25</v>
      </c>
      <c r="H79" s="5">
        <v>72</v>
      </c>
      <c r="I79" s="5">
        <v>6.5</v>
      </c>
    </row>
    <row r="80" spans="1:9" x14ac:dyDescent="0.15">
      <c r="A80" s="5" t="s">
        <v>161</v>
      </c>
      <c r="B80" s="5">
        <v>57</v>
      </c>
      <c r="C80" s="5">
        <v>24</v>
      </c>
      <c r="D80" s="5">
        <v>24</v>
      </c>
      <c r="E80" s="5">
        <v>24</v>
      </c>
      <c r="F80" s="5">
        <v>2</v>
      </c>
      <c r="G80" s="5">
        <v>2</v>
      </c>
      <c r="H80" s="5">
        <v>396</v>
      </c>
      <c r="I80" s="5">
        <v>396</v>
      </c>
    </row>
    <row r="81" spans="1:9" x14ac:dyDescent="0.15">
      <c r="A81" s="5" t="s">
        <v>169</v>
      </c>
      <c r="B81" s="5">
        <v>26</v>
      </c>
      <c r="C81" s="5">
        <v>15</v>
      </c>
      <c r="D81" s="5">
        <v>15</v>
      </c>
      <c r="E81" s="5">
        <v>15</v>
      </c>
      <c r="F81" s="5">
        <v>5</v>
      </c>
      <c r="G81" s="5">
        <v>2</v>
      </c>
      <c r="H81" s="5">
        <v>48</v>
      </c>
      <c r="I81" s="5">
        <v>132</v>
      </c>
    </row>
    <row r="82" spans="1:9" x14ac:dyDescent="0.15">
      <c r="A82" s="5" t="s">
        <v>159</v>
      </c>
      <c r="B82" s="5">
        <v>26</v>
      </c>
      <c r="C82" s="5">
        <v>19</v>
      </c>
      <c r="D82" s="5">
        <v>19</v>
      </c>
      <c r="E82" s="5">
        <v>19</v>
      </c>
      <c r="F82" s="5">
        <v>3</v>
      </c>
      <c r="G82" s="5">
        <v>0.5</v>
      </c>
      <c r="H82" s="5">
        <v>84</v>
      </c>
      <c r="I82" s="5">
        <v>84</v>
      </c>
    </row>
    <row r="83" spans="1:9" x14ac:dyDescent="0.15">
      <c r="A83" s="5" t="s">
        <v>165</v>
      </c>
      <c r="B83" s="5">
        <v>43</v>
      </c>
      <c r="C83" s="5">
        <v>28</v>
      </c>
      <c r="D83" s="5">
        <v>28</v>
      </c>
      <c r="E83" s="5">
        <v>28</v>
      </c>
      <c r="F83" s="5">
        <v>5</v>
      </c>
      <c r="G83" s="5">
        <v>2</v>
      </c>
      <c r="H83" s="5">
        <v>132</v>
      </c>
      <c r="I83" s="5">
        <v>180</v>
      </c>
    </row>
    <row r="84" spans="1:9" x14ac:dyDescent="0.15">
      <c r="A84" s="5" t="s">
        <v>167</v>
      </c>
      <c r="B84" s="5">
        <v>50</v>
      </c>
      <c r="C84" s="5">
        <v>18</v>
      </c>
      <c r="D84" s="5">
        <v>16</v>
      </c>
      <c r="E84" s="5">
        <v>18</v>
      </c>
      <c r="F84" s="5">
        <v>2</v>
      </c>
      <c r="G84" s="5">
        <v>1</v>
      </c>
      <c r="H84" s="5">
        <v>360</v>
      </c>
      <c r="I84" s="5">
        <v>384</v>
      </c>
    </row>
    <row r="85" spans="1:9" x14ac:dyDescent="0.15">
      <c r="A85" s="5" t="s">
        <v>98</v>
      </c>
      <c r="B85" s="5">
        <v>60</v>
      </c>
      <c r="C85" s="5">
        <v>19</v>
      </c>
      <c r="D85" s="5">
        <v>19</v>
      </c>
      <c r="E85" s="5">
        <v>20</v>
      </c>
      <c r="F85" s="5">
        <v>10</v>
      </c>
      <c r="G85" s="5">
        <v>12</v>
      </c>
      <c r="H85" s="5">
        <v>36</v>
      </c>
      <c r="I85" s="5">
        <v>480</v>
      </c>
    </row>
    <row r="86" spans="1:9" x14ac:dyDescent="0.15">
      <c r="A86" s="5" t="s">
        <v>67</v>
      </c>
      <c r="B86" s="5">
        <v>22</v>
      </c>
      <c r="C86" s="5">
        <v>19</v>
      </c>
      <c r="D86" s="5">
        <v>19</v>
      </c>
      <c r="E86" s="5">
        <v>19</v>
      </c>
      <c r="F86" s="5">
        <v>3</v>
      </c>
      <c r="G86" s="5">
        <v>2.5</v>
      </c>
      <c r="H86" s="5">
        <v>13</v>
      </c>
      <c r="I86" s="5">
        <v>3</v>
      </c>
    </row>
    <row r="87" spans="1:9" x14ac:dyDescent="0.15">
      <c r="A87" s="5" t="s">
        <v>257</v>
      </c>
      <c r="B87" s="5">
        <v>65</v>
      </c>
      <c r="C87" s="5">
        <v>9999</v>
      </c>
      <c r="D87" s="5">
        <v>9999</v>
      </c>
      <c r="E87" s="5">
        <v>9999</v>
      </c>
      <c r="F87" s="5">
        <v>9999</v>
      </c>
      <c r="G87" s="5">
        <v>9999</v>
      </c>
      <c r="H87" s="5">
        <v>9999</v>
      </c>
      <c r="I87" s="5">
        <v>9999</v>
      </c>
    </row>
    <row r="88" spans="1:9" x14ac:dyDescent="0.15">
      <c r="A88" s="5" t="s">
        <v>235</v>
      </c>
      <c r="B88" s="5">
        <v>27</v>
      </c>
      <c r="C88" s="5" t="s">
        <v>536</v>
      </c>
      <c r="D88" s="5" t="s">
        <v>536</v>
      </c>
      <c r="E88" s="5" t="s">
        <v>536</v>
      </c>
      <c r="F88" s="5" t="s">
        <v>536</v>
      </c>
      <c r="G88" s="5" t="s">
        <v>536</v>
      </c>
      <c r="H88" s="5" t="s">
        <v>536</v>
      </c>
      <c r="I88" s="5" t="s">
        <v>536</v>
      </c>
    </row>
    <row r="89" spans="1:9" x14ac:dyDescent="0.15">
      <c r="A89" s="5" t="s">
        <v>61</v>
      </c>
      <c r="B89" s="5">
        <v>33</v>
      </c>
      <c r="C89" s="5">
        <v>22</v>
      </c>
      <c r="D89" s="5">
        <v>22</v>
      </c>
      <c r="E89" s="5">
        <v>31</v>
      </c>
      <c r="F89" s="5">
        <v>2</v>
      </c>
      <c r="G89" s="5">
        <v>3</v>
      </c>
      <c r="H89" s="5">
        <v>7</v>
      </c>
      <c r="I89" s="5">
        <v>24</v>
      </c>
    </row>
    <row r="90" spans="1:9" x14ac:dyDescent="0.15">
      <c r="A90" s="5" t="s">
        <v>129</v>
      </c>
      <c r="B90" s="5">
        <v>62</v>
      </c>
      <c r="C90" s="5">
        <v>15</v>
      </c>
      <c r="D90" s="5">
        <v>13</v>
      </c>
      <c r="E90" s="5">
        <v>32</v>
      </c>
      <c r="F90" s="5">
        <v>2</v>
      </c>
      <c r="G90" s="5">
        <v>0.5</v>
      </c>
      <c r="H90" s="5">
        <v>300</v>
      </c>
      <c r="I90" s="5">
        <v>300</v>
      </c>
    </row>
    <row r="91" spans="1:9" x14ac:dyDescent="0.15">
      <c r="A91" s="5" t="s">
        <v>229</v>
      </c>
      <c r="B91" s="5">
        <v>18</v>
      </c>
    </row>
    <row r="92" spans="1:9" x14ac:dyDescent="0.15">
      <c r="A92" s="5" t="s">
        <v>239</v>
      </c>
      <c r="B92" s="5">
        <v>24</v>
      </c>
      <c r="C92" s="5" t="s">
        <v>536</v>
      </c>
      <c r="D92" s="5" t="s">
        <v>536</v>
      </c>
      <c r="E92" s="5" t="s">
        <v>536</v>
      </c>
      <c r="F92" s="5" t="s">
        <v>536</v>
      </c>
      <c r="G92" s="5" t="s">
        <v>536</v>
      </c>
      <c r="H92" s="5" t="s">
        <v>536</v>
      </c>
      <c r="I92" s="5" t="s">
        <v>536</v>
      </c>
    </row>
    <row r="93" spans="1:9" x14ac:dyDescent="0.15">
      <c r="A93" s="5" t="s">
        <v>86</v>
      </c>
      <c r="B93" s="5">
        <v>49</v>
      </c>
      <c r="C93" s="5">
        <v>19</v>
      </c>
      <c r="D93" s="5">
        <v>19</v>
      </c>
      <c r="E93" s="5">
        <v>19</v>
      </c>
      <c r="F93" s="5">
        <v>4</v>
      </c>
      <c r="G93" s="5">
        <v>7</v>
      </c>
      <c r="H93" s="5">
        <v>48</v>
      </c>
      <c r="I93" s="5">
        <v>360</v>
      </c>
    </row>
    <row r="94" spans="1:9" x14ac:dyDescent="0.15">
      <c r="A94" s="5" t="s">
        <v>193</v>
      </c>
      <c r="B94" s="5">
        <v>25</v>
      </c>
    </row>
    <row r="95" spans="1:9" x14ac:dyDescent="0.15">
      <c r="A95" s="5" t="s">
        <v>90</v>
      </c>
      <c r="B95" s="5">
        <v>57</v>
      </c>
      <c r="C95" s="5">
        <v>45</v>
      </c>
      <c r="D95" s="5">
        <v>50</v>
      </c>
      <c r="E95" s="5">
        <v>50</v>
      </c>
      <c r="F95" s="5">
        <v>3</v>
      </c>
      <c r="G95" s="5">
        <v>12</v>
      </c>
      <c r="H95" s="5">
        <v>2</v>
      </c>
      <c r="I95" s="5">
        <v>144</v>
      </c>
    </row>
    <row r="96" spans="1:9" x14ac:dyDescent="0.15">
      <c r="A96" s="5" t="s">
        <v>289</v>
      </c>
      <c r="B96" s="5">
        <v>40</v>
      </c>
      <c r="C96" s="5">
        <v>9999</v>
      </c>
      <c r="D96" s="5">
        <v>9999</v>
      </c>
      <c r="E96" s="5">
        <v>9999</v>
      </c>
      <c r="F96" s="5">
        <v>9999</v>
      </c>
      <c r="G96" s="5">
        <v>9999</v>
      </c>
      <c r="H96" s="5">
        <v>9999</v>
      </c>
      <c r="I96" s="5">
        <v>9999</v>
      </c>
    </row>
    <row r="97" spans="1:9" x14ac:dyDescent="0.15">
      <c r="A97" s="5" t="s">
        <v>40</v>
      </c>
      <c r="B97" s="5">
        <v>22</v>
      </c>
      <c r="C97" s="5">
        <v>18</v>
      </c>
      <c r="D97" s="5">
        <v>18</v>
      </c>
      <c r="E97" s="5">
        <v>21</v>
      </c>
      <c r="F97" s="5">
        <v>4</v>
      </c>
      <c r="G97" s="5">
        <v>1.5</v>
      </c>
      <c r="H97" s="5">
        <v>4</v>
      </c>
      <c r="I97" s="5">
        <v>4</v>
      </c>
    </row>
    <row r="98" spans="1:9" x14ac:dyDescent="0.15">
      <c r="A98" s="5" t="s">
        <v>155</v>
      </c>
      <c r="B98" s="5">
        <v>52</v>
      </c>
      <c r="C98" s="5">
        <v>35</v>
      </c>
      <c r="D98" s="5">
        <v>35</v>
      </c>
      <c r="E98" s="5">
        <v>35</v>
      </c>
      <c r="F98" s="5">
        <v>6</v>
      </c>
      <c r="G98" s="5" t="s">
        <v>533</v>
      </c>
      <c r="H98" s="5">
        <v>60</v>
      </c>
      <c r="I98" s="5">
        <v>204</v>
      </c>
    </row>
    <row r="99" spans="1:9" x14ac:dyDescent="0.15">
      <c r="A99" s="5" t="s">
        <v>116</v>
      </c>
      <c r="B99" s="5">
        <v>35</v>
      </c>
      <c r="C99" s="5">
        <v>19</v>
      </c>
      <c r="D99" s="5">
        <v>19</v>
      </c>
      <c r="E99" s="5">
        <v>33</v>
      </c>
      <c r="F99" s="5">
        <v>2</v>
      </c>
      <c r="G99" s="5">
        <v>1</v>
      </c>
      <c r="H99" s="5">
        <v>6</v>
      </c>
      <c r="I99" s="5">
        <v>6</v>
      </c>
    </row>
    <row r="100" spans="1:9" x14ac:dyDescent="0.15">
      <c r="A100" s="5" t="s">
        <v>151</v>
      </c>
      <c r="B100" s="5">
        <v>38</v>
      </c>
      <c r="C100" s="5">
        <v>20</v>
      </c>
      <c r="D100" s="5">
        <v>20</v>
      </c>
      <c r="E100" s="5">
        <v>20</v>
      </c>
      <c r="F100" s="5">
        <v>10</v>
      </c>
      <c r="G100" s="5">
        <v>8</v>
      </c>
      <c r="H100" s="5">
        <v>13</v>
      </c>
      <c r="I100" s="5">
        <v>216</v>
      </c>
    </row>
    <row r="101" spans="1:9" x14ac:dyDescent="0.15">
      <c r="A101" s="5" t="s">
        <v>81</v>
      </c>
      <c r="B101" s="5">
        <v>35</v>
      </c>
      <c r="C101" s="5">
        <v>17</v>
      </c>
      <c r="D101" s="5">
        <v>17</v>
      </c>
      <c r="E101" s="5">
        <v>17</v>
      </c>
      <c r="F101" s="5">
        <v>5</v>
      </c>
      <c r="G101" s="5">
        <v>5</v>
      </c>
      <c r="H101" s="5">
        <v>36</v>
      </c>
      <c r="I101" s="5">
        <v>36</v>
      </c>
    </row>
    <row r="102" spans="1:9" x14ac:dyDescent="0.15">
      <c r="A102" s="5" t="s">
        <v>50</v>
      </c>
      <c r="B102" s="5">
        <v>50</v>
      </c>
      <c r="C102" s="5">
        <v>17</v>
      </c>
      <c r="D102" s="5">
        <v>12</v>
      </c>
      <c r="E102" s="5">
        <v>17</v>
      </c>
      <c r="F102" s="5">
        <v>10</v>
      </c>
      <c r="G102" s="5">
        <v>6</v>
      </c>
      <c r="H102" s="5">
        <v>84</v>
      </c>
      <c r="I102" s="5">
        <v>84</v>
      </c>
    </row>
    <row r="103" spans="1:9" x14ac:dyDescent="0.15">
      <c r="A103" s="5" t="s">
        <v>176</v>
      </c>
      <c r="B103" s="5">
        <v>40</v>
      </c>
    </row>
    <row r="104" spans="1:9" x14ac:dyDescent="0.15">
      <c r="A104" s="5" t="s">
        <v>96</v>
      </c>
      <c r="B104" s="5">
        <v>40</v>
      </c>
      <c r="C104" s="5">
        <v>18</v>
      </c>
      <c r="D104" s="5">
        <v>18</v>
      </c>
      <c r="E104" s="5">
        <v>19</v>
      </c>
      <c r="F104" s="5">
        <v>15</v>
      </c>
      <c r="G104" s="5">
        <v>5</v>
      </c>
      <c r="H104" s="5">
        <v>79</v>
      </c>
      <c r="I104" s="5">
        <v>79</v>
      </c>
    </row>
    <row r="105" spans="1:9" x14ac:dyDescent="0.15">
      <c r="A105" s="5" t="s">
        <v>186</v>
      </c>
      <c r="B105" s="5">
        <v>26</v>
      </c>
    </row>
    <row r="106" spans="1:9" x14ac:dyDescent="0.15">
      <c r="A106" s="5" t="s">
        <v>32</v>
      </c>
      <c r="B106" s="5">
        <v>52</v>
      </c>
      <c r="C106" s="5">
        <v>12</v>
      </c>
      <c r="D106" s="5">
        <v>12</v>
      </c>
      <c r="E106" s="5">
        <v>23</v>
      </c>
      <c r="F106" s="5">
        <v>4</v>
      </c>
      <c r="G106" s="5">
        <v>9</v>
      </c>
      <c r="H106" s="5">
        <v>48</v>
      </c>
      <c r="I106" s="5">
        <v>36</v>
      </c>
    </row>
    <row r="107" spans="1:9" x14ac:dyDescent="0.15">
      <c r="A107" s="5" t="s">
        <v>75</v>
      </c>
      <c r="B107" s="5">
        <v>46</v>
      </c>
      <c r="C107" s="5">
        <v>29</v>
      </c>
      <c r="D107" s="5">
        <v>29</v>
      </c>
      <c r="E107" s="5">
        <v>29</v>
      </c>
      <c r="F107" s="5">
        <v>10</v>
      </c>
      <c r="G107" s="5">
        <v>10</v>
      </c>
      <c r="H107" s="5">
        <v>60</v>
      </c>
      <c r="I107" s="5">
        <v>204</v>
      </c>
    </row>
    <row r="108" spans="1:9" x14ac:dyDescent="0.15">
      <c r="A108" s="5" t="s">
        <v>278</v>
      </c>
      <c r="B108" s="5">
        <v>33</v>
      </c>
      <c r="C108" s="5" t="s">
        <v>536</v>
      </c>
      <c r="D108" s="5" t="s">
        <v>536</v>
      </c>
      <c r="E108" s="5" t="s">
        <v>536</v>
      </c>
      <c r="F108" s="5" t="s">
        <v>536</v>
      </c>
      <c r="G108" s="5" t="s">
        <v>536</v>
      </c>
      <c r="H108" s="5" t="s">
        <v>536</v>
      </c>
      <c r="I108" s="5" t="s">
        <v>536</v>
      </c>
    </row>
    <row r="109" spans="1:9" x14ac:dyDescent="0.15">
      <c r="A109" s="5" t="s">
        <v>102</v>
      </c>
      <c r="B109" s="5">
        <v>29</v>
      </c>
      <c r="C109" s="5">
        <v>24</v>
      </c>
      <c r="D109" s="5">
        <v>24</v>
      </c>
      <c r="E109" s="5">
        <v>29</v>
      </c>
      <c r="F109" s="5">
        <v>1</v>
      </c>
      <c r="G109" s="5">
        <v>0.25</v>
      </c>
      <c r="H109" s="5">
        <v>4</v>
      </c>
      <c r="I109" s="5">
        <v>4</v>
      </c>
    </row>
    <row r="110" spans="1:9" x14ac:dyDescent="0.15">
      <c r="A110" s="5" t="s">
        <v>37</v>
      </c>
      <c r="B110" s="5">
        <v>33</v>
      </c>
      <c r="C110" s="5">
        <v>24</v>
      </c>
      <c r="D110" s="5">
        <v>24</v>
      </c>
      <c r="E110" s="5">
        <v>30</v>
      </c>
      <c r="F110" s="5">
        <v>3</v>
      </c>
      <c r="G110" s="5">
        <v>0.5</v>
      </c>
      <c r="H110" s="5">
        <v>7</v>
      </c>
      <c r="I110" s="5">
        <v>7</v>
      </c>
    </row>
    <row r="111" spans="1:9" x14ac:dyDescent="0.15">
      <c r="A111" s="5" t="s">
        <v>125</v>
      </c>
      <c r="B111" s="5">
        <v>43</v>
      </c>
      <c r="C111" s="5">
        <v>25</v>
      </c>
      <c r="D111" s="5">
        <v>23</v>
      </c>
      <c r="E111" s="5">
        <v>25</v>
      </c>
      <c r="F111" s="5">
        <v>6</v>
      </c>
      <c r="G111" s="5">
        <v>3</v>
      </c>
      <c r="H111" s="5">
        <v>12</v>
      </c>
      <c r="I111" s="5">
        <v>324</v>
      </c>
    </row>
    <row r="112" spans="1:9" x14ac:dyDescent="0.15">
      <c r="A112" s="5" t="s">
        <v>264</v>
      </c>
      <c r="B112" s="5">
        <v>58</v>
      </c>
    </row>
    <row r="113" spans="1:9" x14ac:dyDescent="0.15">
      <c r="A113" s="5" t="s">
        <v>39</v>
      </c>
      <c r="B113" s="5">
        <v>42</v>
      </c>
      <c r="C113" s="5">
        <v>21</v>
      </c>
      <c r="D113" s="5">
        <v>5</v>
      </c>
      <c r="E113" s="5" t="s">
        <v>536</v>
      </c>
      <c r="F113" s="5" t="s">
        <v>536</v>
      </c>
      <c r="G113" s="5" t="s">
        <v>536</v>
      </c>
      <c r="H113" s="5" t="s">
        <v>536</v>
      </c>
      <c r="I113" s="5">
        <v>120</v>
      </c>
    </row>
    <row r="114" spans="1:9" x14ac:dyDescent="0.15">
      <c r="A114" s="5" t="s">
        <v>212</v>
      </c>
      <c r="B114" s="5">
        <v>20</v>
      </c>
    </row>
    <row r="115" spans="1:9" x14ac:dyDescent="0.15">
      <c r="A115" s="5" t="s">
        <v>268</v>
      </c>
      <c r="B115" s="5">
        <v>23</v>
      </c>
    </row>
    <row r="116" spans="1:9" x14ac:dyDescent="0.15">
      <c r="A116" s="5" t="s">
        <v>178</v>
      </c>
      <c r="B116" s="5">
        <v>27</v>
      </c>
    </row>
    <row r="117" spans="1:9" x14ac:dyDescent="0.15">
      <c r="A117" s="5" t="s">
        <v>209</v>
      </c>
      <c r="B117" s="5">
        <v>47</v>
      </c>
    </row>
    <row r="118" spans="1:9" x14ac:dyDescent="0.15">
      <c r="A118" s="5" t="s">
        <v>135</v>
      </c>
      <c r="B118" s="5">
        <v>19</v>
      </c>
      <c r="C118" s="5">
        <v>17</v>
      </c>
      <c r="D118" s="5">
        <v>17</v>
      </c>
      <c r="E118" s="5">
        <v>18</v>
      </c>
      <c r="F118" s="5">
        <v>1</v>
      </c>
      <c r="G118" s="5">
        <v>0.2</v>
      </c>
      <c r="H118" s="5">
        <v>12</v>
      </c>
      <c r="I118" s="5">
        <v>4</v>
      </c>
    </row>
    <row r="119" spans="1:9" x14ac:dyDescent="0.15">
      <c r="A119" s="5" t="s">
        <v>297</v>
      </c>
      <c r="B119" s="5">
        <v>34</v>
      </c>
      <c r="C119" s="5">
        <v>9999</v>
      </c>
      <c r="D119" s="5">
        <v>9999</v>
      </c>
      <c r="E119" s="5">
        <v>9999</v>
      </c>
      <c r="F119" s="5">
        <v>9999</v>
      </c>
      <c r="G119" s="5">
        <v>9999</v>
      </c>
      <c r="H119" s="5">
        <v>9999</v>
      </c>
      <c r="I119" s="5">
        <v>9999</v>
      </c>
    </row>
    <row r="120" spans="1:9" x14ac:dyDescent="0.15">
      <c r="A120" s="5" t="s">
        <v>243</v>
      </c>
      <c r="B120" s="5">
        <v>44</v>
      </c>
      <c r="C120" s="5" t="s">
        <v>536</v>
      </c>
      <c r="D120" s="5" t="s">
        <v>536</v>
      </c>
      <c r="E120" s="5" t="s">
        <v>536</v>
      </c>
      <c r="F120" s="5" t="s">
        <v>536</v>
      </c>
      <c r="G120" s="5" t="s">
        <v>536</v>
      </c>
      <c r="H120" s="5" t="s">
        <v>536</v>
      </c>
      <c r="I120" s="5" t="s">
        <v>536</v>
      </c>
    </row>
    <row r="121" spans="1:9" x14ac:dyDescent="0.15">
      <c r="A121" s="5" t="s">
        <v>218</v>
      </c>
      <c r="B121" s="5">
        <v>26</v>
      </c>
    </row>
    <row r="122" spans="1:9" x14ac:dyDescent="0.15">
      <c r="A122" s="5" t="s">
        <v>266</v>
      </c>
      <c r="B122" s="5">
        <v>21</v>
      </c>
    </row>
    <row r="123" spans="1:9" x14ac:dyDescent="0.15">
      <c r="A123" s="5" t="s">
        <v>122</v>
      </c>
      <c r="B123" s="5">
        <v>22</v>
      </c>
      <c r="C123" s="5">
        <v>22</v>
      </c>
      <c r="D123" s="5">
        <v>18</v>
      </c>
      <c r="E123" s="5">
        <v>22</v>
      </c>
      <c r="F123" s="5">
        <v>1</v>
      </c>
      <c r="G123" s="5">
        <v>3.4000000000000002E-2</v>
      </c>
      <c r="H123" s="5">
        <v>7</v>
      </c>
      <c r="I123" s="5">
        <v>6</v>
      </c>
    </row>
    <row r="124" spans="1:9" x14ac:dyDescent="0.15">
      <c r="A124" s="5" t="s">
        <v>225</v>
      </c>
      <c r="B124" s="5">
        <v>48</v>
      </c>
    </row>
    <row r="125" spans="1:9" x14ac:dyDescent="0.15">
      <c r="A125" s="5" t="s">
        <v>287</v>
      </c>
      <c r="B125" s="5">
        <v>35</v>
      </c>
    </row>
    <row r="126" spans="1:9" x14ac:dyDescent="0.15">
      <c r="A126" s="5" t="s">
        <v>272</v>
      </c>
      <c r="B126" s="5">
        <v>48</v>
      </c>
    </row>
    <row r="127" spans="1:9" x14ac:dyDescent="0.15">
      <c r="A127" s="5" t="s">
        <v>92</v>
      </c>
      <c r="B127" s="5">
        <v>41</v>
      </c>
      <c r="C127" s="5">
        <v>19</v>
      </c>
      <c r="D127" s="5">
        <v>19</v>
      </c>
      <c r="E127" s="5">
        <v>20</v>
      </c>
      <c r="F127" s="5">
        <v>12</v>
      </c>
      <c r="G127" s="5">
        <v>4</v>
      </c>
      <c r="H127" s="5">
        <v>48</v>
      </c>
      <c r="I127" s="5">
        <v>48</v>
      </c>
    </row>
    <row r="128" spans="1:9" x14ac:dyDescent="0.15">
      <c r="A128" s="5" t="s">
        <v>285</v>
      </c>
      <c r="B128" s="5">
        <v>26</v>
      </c>
      <c r="C128" s="5">
        <v>9999</v>
      </c>
      <c r="D128" s="5">
        <v>9999</v>
      </c>
      <c r="E128" s="5">
        <v>9999</v>
      </c>
      <c r="F128" s="5">
        <v>9999</v>
      </c>
      <c r="G128" s="5">
        <v>9999</v>
      </c>
      <c r="H128" s="5">
        <v>9999</v>
      </c>
      <c r="I128" s="5">
        <v>9999</v>
      </c>
    </row>
    <row r="129" spans="1:9" x14ac:dyDescent="0.15">
      <c r="A129" s="5" t="s">
        <v>188</v>
      </c>
      <c r="B129" s="5">
        <v>22</v>
      </c>
    </row>
    <row r="130" spans="1:9" x14ac:dyDescent="0.15">
      <c r="A130" s="5" t="s">
        <v>195</v>
      </c>
      <c r="B130" s="5">
        <v>23</v>
      </c>
      <c r="C130" s="5">
        <v>9999</v>
      </c>
      <c r="D130" s="5">
        <v>9999</v>
      </c>
      <c r="E130" s="5">
        <v>9999</v>
      </c>
      <c r="F130" s="5">
        <v>9999</v>
      </c>
      <c r="G130" s="5">
        <v>9999</v>
      </c>
      <c r="H130" s="5">
        <v>9999</v>
      </c>
      <c r="I130" s="5">
        <v>9999</v>
      </c>
    </row>
    <row r="131" spans="1:9" x14ac:dyDescent="0.15">
      <c r="A131" s="5" t="s">
        <v>223</v>
      </c>
      <c r="B131" s="5">
        <v>47</v>
      </c>
    </row>
    <row r="132" spans="1:9" x14ac:dyDescent="0.15">
      <c r="A132" s="5" t="s">
        <v>274</v>
      </c>
      <c r="B132" s="5">
        <v>47</v>
      </c>
    </row>
    <row r="133" spans="1:9" x14ac:dyDescent="0.15">
      <c r="A133" s="5" t="s">
        <v>71</v>
      </c>
      <c r="B133" s="5">
        <v>50</v>
      </c>
      <c r="C133" s="5">
        <v>17</v>
      </c>
      <c r="D133" s="5" t="s">
        <v>533</v>
      </c>
      <c r="E133" s="5">
        <v>19</v>
      </c>
      <c r="F133" s="5">
        <v>9</v>
      </c>
      <c r="G133" s="5" t="s">
        <v>533</v>
      </c>
      <c r="H133" s="5" t="s">
        <v>533</v>
      </c>
      <c r="I133" s="5" t="s">
        <v>533</v>
      </c>
    </row>
    <row r="134" spans="1:9" x14ac:dyDescent="0.15">
      <c r="A134" s="5" t="s">
        <v>52</v>
      </c>
      <c r="B134" s="5">
        <v>20</v>
      </c>
      <c r="C134" s="5">
        <v>14</v>
      </c>
      <c r="D134" s="5">
        <v>14</v>
      </c>
      <c r="E134" s="5">
        <v>19</v>
      </c>
      <c r="F134" s="5">
        <v>2</v>
      </c>
      <c r="G134" s="5">
        <v>0.5</v>
      </c>
      <c r="H134" s="5">
        <v>0.75</v>
      </c>
      <c r="I134" s="5">
        <v>18</v>
      </c>
    </row>
    <row r="135" spans="1:9" x14ac:dyDescent="0.15">
      <c r="A135" s="5" t="s">
        <v>253</v>
      </c>
      <c r="B135" s="5">
        <v>42</v>
      </c>
      <c r="C135" s="5" t="s">
        <v>536</v>
      </c>
      <c r="D135" s="5" t="s">
        <v>536</v>
      </c>
      <c r="E135" s="5" t="s">
        <v>536</v>
      </c>
      <c r="F135" s="5" t="s">
        <v>536</v>
      </c>
      <c r="G135" s="5" t="s">
        <v>536</v>
      </c>
      <c r="H135" s="5" t="s">
        <v>536</v>
      </c>
      <c r="I135" s="5" t="s">
        <v>536</v>
      </c>
    </row>
    <row r="136" spans="1:9" x14ac:dyDescent="0.15">
      <c r="A136" s="5" t="s">
        <v>191</v>
      </c>
      <c r="B136" s="5">
        <v>24</v>
      </c>
      <c r="C136" s="5">
        <v>9999</v>
      </c>
      <c r="D136" s="5">
        <v>9999</v>
      </c>
      <c r="E136" s="5">
        <v>9999</v>
      </c>
      <c r="F136" s="5">
        <v>9999</v>
      </c>
      <c r="G136" s="5">
        <v>9999</v>
      </c>
      <c r="H136" s="5">
        <v>9999</v>
      </c>
      <c r="I136" s="5">
        <v>9999</v>
      </c>
    </row>
    <row r="137" spans="1:9" x14ac:dyDescent="0.15">
      <c r="A137" s="5" t="s">
        <v>293</v>
      </c>
      <c r="B137" s="5">
        <v>38</v>
      </c>
      <c r="C137" s="5">
        <v>9999</v>
      </c>
      <c r="D137" s="5">
        <v>9999</v>
      </c>
      <c r="E137" s="5">
        <v>9999</v>
      </c>
      <c r="F137" s="5">
        <v>9999</v>
      </c>
      <c r="G137" s="5">
        <v>9999</v>
      </c>
      <c r="H137" s="5">
        <v>9999</v>
      </c>
      <c r="I137" s="5">
        <v>9999</v>
      </c>
    </row>
    <row r="138" spans="1:9" x14ac:dyDescent="0.15">
      <c r="A138" s="5" t="s">
        <v>48</v>
      </c>
      <c r="B138" s="5">
        <v>21</v>
      </c>
      <c r="C138" s="5">
        <v>18</v>
      </c>
      <c r="D138" s="5">
        <v>18</v>
      </c>
      <c r="E138" s="5">
        <v>18</v>
      </c>
      <c r="F138" s="5">
        <v>1</v>
      </c>
      <c r="G138" s="5">
        <v>0.2</v>
      </c>
      <c r="H138" s="5">
        <v>2.6</v>
      </c>
      <c r="I138" s="5">
        <v>24</v>
      </c>
    </row>
    <row r="139" spans="1:9" x14ac:dyDescent="0.15">
      <c r="A139" s="5" t="s">
        <v>206</v>
      </c>
      <c r="B139" s="5">
        <v>28</v>
      </c>
    </row>
    <row r="140" spans="1:9" x14ac:dyDescent="0.15">
      <c r="A140" s="5" t="s">
        <v>248</v>
      </c>
      <c r="B140" s="5">
        <v>28</v>
      </c>
      <c r="C140" s="5" t="s">
        <v>536</v>
      </c>
      <c r="D140" s="5" t="s">
        <v>536</v>
      </c>
      <c r="E140" s="5" t="s">
        <v>536</v>
      </c>
      <c r="F140" s="5" t="s">
        <v>536</v>
      </c>
      <c r="G140" s="5" t="s">
        <v>536</v>
      </c>
      <c r="H140" s="5" t="s">
        <v>536</v>
      </c>
      <c r="I140" s="5" t="s">
        <v>536</v>
      </c>
    </row>
    <row r="141" spans="1:9" x14ac:dyDescent="0.15">
      <c r="A141" s="5" t="s">
        <v>283</v>
      </c>
      <c r="B141" s="5">
        <v>53</v>
      </c>
      <c r="C141" s="5">
        <v>9999</v>
      </c>
      <c r="D141" s="5">
        <v>9999</v>
      </c>
      <c r="E141" s="5">
        <v>9999</v>
      </c>
      <c r="F141" s="5">
        <v>9999</v>
      </c>
      <c r="G141" s="5">
        <v>9999</v>
      </c>
      <c r="H141" s="5">
        <v>9999</v>
      </c>
      <c r="I141" s="5">
        <v>9999</v>
      </c>
    </row>
    <row r="142" spans="1:9" x14ac:dyDescent="0.15">
      <c r="A142" s="5" t="s">
        <v>216</v>
      </c>
      <c r="B142" s="5">
        <v>35</v>
      </c>
    </row>
    <row r="143" spans="1:9" x14ac:dyDescent="0.15">
      <c r="A143" s="5" t="s">
        <v>65</v>
      </c>
      <c r="B143" s="5">
        <v>23</v>
      </c>
      <c r="C143" s="5">
        <v>18</v>
      </c>
      <c r="D143" s="5">
        <v>18</v>
      </c>
      <c r="E143" s="5" t="s">
        <v>536</v>
      </c>
      <c r="F143" s="5" t="s">
        <v>536</v>
      </c>
      <c r="G143" s="5" t="s">
        <v>536</v>
      </c>
      <c r="H143" s="5" t="s">
        <v>536</v>
      </c>
      <c r="I143" s="5">
        <v>72</v>
      </c>
    </row>
    <row r="144" spans="1:9" x14ac:dyDescent="0.15">
      <c r="A144" s="5" t="s">
        <v>139</v>
      </c>
      <c r="B144" s="5">
        <v>52</v>
      </c>
      <c r="C144" s="5">
        <v>16</v>
      </c>
      <c r="D144" s="5">
        <v>16</v>
      </c>
      <c r="E144" s="5">
        <v>16</v>
      </c>
      <c r="F144" s="5">
        <v>6</v>
      </c>
      <c r="G144" s="5">
        <v>6</v>
      </c>
      <c r="H144" s="5">
        <v>120</v>
      </c>
      <c r="I144" s="5">
        <v>120</v>
      </c>
    </row>
    <row r="145" spans="1:9" x14ac:dyDescent="0.15">
      <c r="A145" s="5" t="s">
        <v>291</v>
      </c>
      <c r="B145" s="5">
        <v>54</v>
      </c>
      <c r="C145" s="5">
        <v>9999</v>
      </c>
      <c r="D145" s="5">
        <v>9999</v>
      </c>
      <c r="E145" s="5">
        <v>9999</v>
      </c>
      <c r="F145" s="5">
        <v>9999</v>
      </c>
      <c r="G145" s="5">
        <v>9999</v>
      </c>
      <c r="H145" s="5">
        <v>9999</v>
      </c>
      <c r="I145" s="5">
        <v>9999</v>
      </c>
    </row>
    <row r="146" spans="1:9" x14ac:dyDescent="0.15">
      <c r="A146" s="5" t="s">
        <v>143</v>
      </c>
      <c r="B146" s="5">
        <v>19</v>
      </c>
      <c r="C146" s="5">
        <v>18</v>
      </c>
      <c r="D146" s="5">
        <v>18</v>
      </c>
      <c r="E146" s="5">
        <v>18</v>
      </c>
      <c r="F146" s="5">
        <v>3</v>
      </c>
      <c r="G146" s="5">
        <v>1</v>
      </c>
      <c r="H146" s="5">
        <v>13</v>
      </c>
      <c r="I146" s="5">
        <v>13</v>
      </c>
    </row>
    <row r="147" spans="1:9" x14ac:dyDescent="0.15">
      <c r="A147" s="5" t="s">
        <v>221</v>
      </c>
      <c r="B147" s="5">
        <v>39</v>
      </c>
    </row>
    <row r="148" spans="1:9" x14ac:dyDescent="0.15">
      <c r="A148" s="5" t="s">
        <v>204</v>
      </c>
      <c r="B148" s="5">
        <v>34</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49"/>
  <sheetViews>
    <sheetView zoomScale="90" zoomScaleNormal="90" workbookViewId="0"/>
  </sheetViews>
  <sheetFormatPr baseColWidth="10" defaultColWidth="9.5" defaultRowHeight="13" x14ac:dyDescent="0.15"/>
  <cols>
    <col min="1" max="1" width="19.5" customWidth="1"/>
    <col min="2" max="2" width="38.1640625" customWidth="1"/>
    <col min="11" max="11" width="14" customWidth="1"/>
  </cols>
  <sheetData>
    <row r="1" spans="1:72" s="6" customFormat="1" ht="15" x14ac:dyDescent="0.2">
      <c r="C1" s="6" t="s">
        <v>46</v>
      </c>
      <c r="D1" s="6" t="s">
        <v>79</v>
      </c>
      <c r="E1" s="6" t="s">
        <v>54</v>
      </c>
      <c r="F1" s="6" t="s">
        <v>56</v>
      </c>
      <c r="G1" s="6" t="s">
        <v>127</v>
      </c>
      <c r="H1" s="6" t="s">
        <v>122</v>
      </c>
      <c r="I1" s="6" t="s">
        <v>61</v>
      </c>
      <c r="J1" s="6" t="s">
        <v>129</v>
      </c>
      <c r="K1" s="6" t="s">
        <v>108</v>
      </c>
      <c r="L1" s="6" t="s">
        <v>161</v>
      </c>
      <c r="M1" s="6" t="s">
        <v>63</v>
      </c>
      <c r="N1" s="6" t="s">
        <v>86</v>
      </c>
      <c r="O1" s="6" t="s">
        <v>92</v>
      </c>
      <c r="P1" s="6" t="s">
        <v>110</v>
      </c>
      <c r="Q1" s="6" t="s">
        <v>153</v>
      </c>
      <c r="R1" s="6" t="s">
        <v>159</v>
      </c>
      <c r="S1" s="6" t="s">
        <v>90</v>
      </c>
      <c r="T1" s="6" t="s">
        <v>98</v>
      </c>
      <c r="U1" s="6" t="s">
        <v>137</v>
      </c>
      <c r="V1" s="6" t="s">
        <v>167</v>
      </c>
      <c r="W1" s="6" t="s">
        <v>104</v>
      </c>
      <c r="X1" s="6" t="s">
        <v>118</v>
      </c>
      <c r="Y1" s="6" t="s">
        <v>171</v>
      </c>
      <c r="Z1" s="6" t="s">
        <v>71</v>
      </c>
      <c r="AA1" s="6" t="s">
        <v>52</v>
      </c>
      <c r="AB1" s="6" t="s">
        <v>100</v>
      </c>
      <c r="AC1" s="6" t="s">
        <v>40</v>
      </c>
      <c r="AD1" s="6" t="s">
        <v>59</v>
      </c>
      <c r="AE1" s="6" t="s">
        <v>155</v>
      </c>
      <c r="AF1" s="6" t="s">
        <v>116</v>
      </c>
      <c r="AG1" s="6" t="s">
        <v>133</v>
      </c>
      <c r="AH1" s="6" t="s">
        <v>151</v>
      </c>
      <c r="AI1" s="6" t="s">
        <v>114</v>
      </c>
      <c r="AJ1" s="6" t="s">
        <v>77</v>
      </c>
      <c r="AK1" s="6" t="s">
        <v>81</v>
      </c>
      <c r="AL1" s="6" t="s">
        <v>50</v>
      </c>
      <c r="AM1" s="6" t="s">
        <v>96</v>
      </c>
      <c r="AN1" s="6" t="s">
        <v>120</v>
      </c>
      <c r="AO1" s="6" t="s">
        <v>69</v>
      </c>
      <c r="AP1" s="6" t="s">
        <v>106</v>
      </c>
      <c r="AQ1" s="6" t="s">
        <v>32</v>
      </c>
      <c r="AR1" s="6" t="s">
        <v>75</v>
      </c>
      <c r="AS1" s="6" t="s">
        <v>84</v>
      </c>
      <c r="AT1" s="6" t="s">
        <v>145</v>
      </c>
      <c r="AU1" s="6" t="s">
        <v>82</v>
      </c>
      <c r="AV1" s="6" t="s">
        <v>58</v>
      </c>
      <c r="AW1" s="6" t="s">
        <v>94</v>
      </c>
      <c r="AX1" s="6" t="s">
        <v>102</v>
      </c>
      <c r="AY1" s="6" t="s">
        <v>48</v>
      </c>
      <c r="AZ1" s="6" t="s">
        <v>42</v>
      </c>
      <c r="BA1" s="6" t="s">
        <v>88</v>
      </c>
      <c r="BB1" s="6" t="s">
        <v>165</v>
      </c>
      <c r="BC1" s="6" t="s">
        <v>149</v>
      </c>
      <c r="BD1" s="6" t="s">
        <v>36</v>
      </c>
      <c r="BE1" s="6" t="s">
        <v>147</v>
      </c>
      <c r="BF1" s="6" t="s">
        <v>125</v>
      </c>
      <c r="BG1" s="6" t="s">
        <v>39</v>
      </c>
      <c r="BH1" s="6" t="s">
        <v>65</v>
      </c>
      <c r="BI1" s="6" t="s">
        <v>157</v>
      </c>
      <c r="BJ1" s="6" t="s">
        <v>139</v>
      </c>
      <c r="BK1" s="6" t="s">
        <v>44</v>
      </c>
      <c r="BL1" s="6" t="s">
        <v>135</v>
      </c>
      <c r="BM1" s="6" t="s">
        <v>141</v>
      </c>
      <c r="BN1" s="6" t="s">
        <v>143</v>
      </c>
      <c r="BO1" s="6" t="s">
        <v>34</v>
      </c>
      <c r="BP1" s="6" t="s">
        <v>112</v>
      </c>
      <c r="BQ1" s="6" t="s">
        <v>73</v>
      </c>
      <c r="BR1" s="6" t="s">
        <v>67</v>
      </c>
      <c r="BS1" s="6" t="s">
        <v>131</v>
      </c>
      <c r="BT1" s="6" t="s">
        <v>37</v>
      </c>
    </row>
    <row r="2" spans="1:72" s="8" customFormat="1" x14ac:dyDescent="0.15">
      <c r="A2" s="7" t="s">
        <v>538</v>
      </c>
      <c r="B2" s="8" t="s">
        <v>539</v>
      </c>
      <c r="C2" s="8">
        <v>4005</v>
      </c>
      <c r="D2" s="8">
        <v>4003</v>
      </c>
      <c r="E2" s="8">
        <v>4001</v>
      </c>
      <c r="F2" s="8">
        <v>4002</v>
      </c>
      <c r="G2" s="8">
        <v>4004</v>
      </c>
      <c r="H2" s="8">
        <v>4002</v>
      </c>
      <c r="I2" s="8">
        <v>4006</v>
      </c>
      <c r="J2" s="8">
        <v>4001</v>
      </c>
      <c r="K2" s="8">
        <v>4012</v>
      </c>
      <c r="L2" s="8">
        <v>4002</v>
      </c>
      <c r="M2" s="8">
        <v>4001</v>
      </c>
      <c r="N2" s="8">
        <v>4012</v>
      </c>
      <c r="O2" s="8">
        <v>4003</v>
      </c>
      <c r="P2" s="8">
        <v>4006</v>
      </c>
      <c r="Q2" s="8">
        <v>4004</v>
      </c>
      <c r="R2" s="8">
        <v>4000</v>
      </c>
      <c r="S2" s="8">
        <v>4003</v>
      </c>
      <c r="T2" s="8">
        <v>4000</v>
      </c>
      <c r="U2" s="8">
        <v>2002</v>
      </c>
      <c r="V2" s="8">
        <v>4000</v>
      </c>
      <c r="W2" s="8">
        <v>4003</v>
      </c>
      <c r="X2" s="8">
        <v>4004</v>
      </c>
      <c r="Y2" s="8">
        <v>4002</v>
      </c>
      <c r="Z2" s="8">
        <v>4008</v>
      </c>
      <c r="AA2" s="8">
        <v>4006</v>
      </c>
      <c r="AB2" s="8">
        <v>4004</v>
      </c>
      <c r="AC2" s="8">
        <v>4005</v>
      </c>
      <c r="AD2" s="8">
        <v>4000</v>
      </c>
      <c r="AE2" s="8">
        <v>4003</v>
      </c>
      <c r="AF2" s="8">
        <v>4002</v>
      </c>
      <c r="AG2" s="8">
        <v>4001</v>
      </c>
      <c r="AH2" s="8">
        <v>4001</v>
      </c>
      <c r="AI2" s="8">
        <v>4005</v>
      </c>
      <c r="AJ2" s="8">
        <v>4003</v>
      </c>
      <c r="AK2" s="8">
        <v>4012</v>
      </c>
      <c r="AL2" s="8">
        <v>4006</v>
      </c>
      <c r="AM2" s="8">
        <v>4003</v>
      </c>
      <c r="AN2" s="8">
        <v>4001</v>
      </c>
      <c r="AO2" s="8">
        <v>4005</v>
      </c>
      <c r="AP2" s="8">
        <v>4003</v>
      </c>
      <c r="AQ2" s="8">
        <v>4003</v>
      </c>
      <c r="AR2" s="8">
        <v>4005</v>
      </c>
      <c r="AS2" s="8">
        <v>4011</v>
      </c>
      <c r="AT2" s="8">
        <v>4002</v>
      </c>
      <c r="AU2" s="8">
        <v>4004</v>
      </c>
      <c r="AV2" s="8">
        <v>4001</v>
      </c>
      <c r="AW2" s="8">
        <v>4002</v>
      </c>
      <c r="AX2" s="8">
        <v>4012</v>
      </c>
      <c r="AY2" s="8">
        <v>4004</v>
      </c>
      <c r="AZ2" s="8">
        <v>4001</v>
      </c>
      <c r="BA2" s="8">
        <v>4004</v>
      </c>
      <c r="BB2" s="8">
        <v>4006</v>
      </c>
      <c r="BC2" s="8">
        <v>4002</v>
      </c>
      <c r="BD2" s="8">
        <v>4005</v>
      </c>
      <c r="BE2" s="8">
        <v>4004</v>
      </c>
      <c r="BF2" s="8">
        <v>3000</v>
      </c>
      <c r="BG2" s="8">
        <v>4000</v>
      </c>
      <c r="BH2" s="8">
        <v>4000</v>
      </c>
      <c r="BI2" s="8">
        <v>4002</v>
      </c>
      <c r="BJ2" s="8">
        <v>1013</v>
      </c>
      <c r="BK2" s="8">
        <v>4016</v>
      </c>
      <c r="BL2" s="8">
        <v>4004</v>
      </c>
      <c r="BM2" s="8">
        <v>4006</v>
      </c>
      <c r="BN2" s="8">
        <v>4000</v>
      </c>
      <c r="BO2" s="8">
        <v>4005</v>
      </c>
      <c r="BP2" s="8">
        <v>4001</v>
      </c>
      <c r="BQ2" s="8">
        <v>4005</v>
      </c>
      <c r="BR2" s="8">
        <v>4002</v>
      </c>
      <c r="BS2" s="8">
        <v>4001</v>
      </c>
      <c r="BT2" s="8">
        <v>4004</v>
      </c>
    </row>
    <row r="3" spans="1:72" s="10" customFormat="1" x14ac:dyDescent="0.15">
      <c r="A3" s="9" t="s">
        <v>540</v>
      </c>
      <c r="B3" s="10" t="s">
        <v>541</v>
      </c>
      <c r="AL3" s="10" t="s">
        <v>542</v>
      </c>
    </row>
    <row r="4" spans="1:72" s="10" customFormat="1" x14ac:dyDescent="0.15">
      <c r="A4" s="9" t="s">
        <v>543</v>
      </c>
      <c r="B4" s="10" t="s">
        <v>544</v>
      </c>
      <c r="C4" s="10" t="s">
        <v>545</v>
      </c>
      <c r="D4" s="10" t="s">
        <v>546</v>
      </c>
      <c r="E4" s="10" t="s">
        <v>547</v>
      </c>
      <c r="F4" s="10" t="s">
        <v>548</v>
      </c>
      <c r="G4" s="10" t="s">
        <v>549</v>
      </c>
      <c r="H4" s="10" t="s">
        <v>548</v>
      </c>
      <c r="I4" s="10" t="s">
        <v>550</v>
      </c>
      <c r="J4" s="10" t="s">
        <v>551</v>
      </c>
      <c r="K4" s="10" t="s">
        <v>552</v>
      </c>
      <c r="L4" s="10" t="s">
        <v>553</v>
      </c>
      <c r="M4" s="10" t="s">
        <v>554</v>
      </c>
      <c r="N4" s="10" t="s">
        <v>547</v>
      </c>
      <c r="O4" s="10" t="s">
        <v>555</v>
      </c>
      <c r="P4" s="10" t="s">
        <v>556</v>
      </c>
      <c r="Q4" s="10" t="s">
        <v>557</v>
      </c>
      <c r="R4" s="10" t="s">
        <v>558</v>
      </c>
      <c r="S4" s="10" t="s">
        <v>559</v>
      </c>
      <c r="T4" s="10" t="s">
        <v>560</v>
      </c>
      <c r="U4" s="10" t="s">
        <v>561</v>
      </c>
      <c r="V4" s="10" t="s">
        <v>562</v>
      </c>
      <c r="W4" s="10" t="s">
        <v>554</v>
      </c>
      <c r="X4" s="10" t="s">
        <v>563</v>
      </c>
      <c r="Y4" s="10" t="s">
        <v>564</v>
      </c>
      <c r="Z4" s="10" t="s">
        <v>553</v>
      </c>
      <c r="AA4" s="10" t="s">
        <v>565</v>
      </c>
      <c r="AB4" s="10" t="s">
        <v>566</v>
      </c>
      <c r="AC4" s="10" t="s">
        <v>547</v>
      </c>
      <c r="AD4" s="10" t="s">
        <v>567</v>
      </c>
      <c r="AE4" s="10" t="s">
        <v>568</v>
      </c>
      <c r="AF4" s="10" t="s">
        <v>553</v>
      </c>
      <c r="AG4" s="10" t="s">
        <v>569</v>
      </c>
      <c r="AH4" s="10" t="s">
        <v>554</v>
      </c>
      <c r="AI4" s="10" t="s">
        <v>570</v>
      </c>
      <c r="AJ4" s="10" t="s">
        <v>547</v>
      </c>
      <c r="AK4" s="10" t="s">
        <v>565</v>
      </c>
      <c r="AL4" s="10" t="s">
        <v>571</v>
      </c>
      <c r="AM4" s="10" t="s">
        <v>554</v>
      </c>
      <c r="AN4" s="10" t="s">
        <v>546</v>
      </c>
      <c r="AO4" s="10" t="s">
        <v>547</v>
      </c>
      <c r="AP4" s="10" t="s">
        <v>555</v>
      </c>
      <c r="AQ4" s="10" t="s">
        <v>572</v>
      </c>
      <c r="AR4" s="10" t="s">
        <v>570</v>
      </c>
      <c r="AS4" s="10" t="s">
        <v>562</v>
      </c>
      <c r="AT4" s="10" t="s">
        <v>558</v>
      </c>
      <c r="AU4" s="10" t="s">
        <v>557</v>
      </c>
      <c r="AV4" s="10" t="s">
        <v>569</v>
      </c>
      <c r="AW4" s="10" t="s">
        <v>548</v>
      </c>
      <c r="AX4" s="10" t="s">
        <v>547</v>
      </c>
      <c r="AY4" s="10" t="s">
        <v>566</v>
      </c>
      <c r="AZ4" s="10" t="s">
        <v>547</v>
      </c>
      <c r="BA4" s="10" t="s">
        <v>563</v>
      </c>
      <c r="BB4" s="10" t="s">
        <v>573</v>
      </c>
      <c r="BC4" s="10" t="s">
        <v>574</v>
      </c>
      <c r="BD4" s="10" t="s">
        <v>570</v>
      </c>
      <c r="BE4" s="10" t="s">
        <v>563</v>
      </c>
      <c r="BF4" s="10" t="s">
        <v>546</v>
      </c>
      <c r="BG4" s="10" t="s">
        <v>553</v>
      </c>
      <c r="BH4" s="10" t="s">
        <v>558</v>
      </c>
      <c r="BI4" s="10" t="s">
        <v>575</v>
      </c>
      <c r="BJ4" s="10" t="s">
        <v>566</v>
      </c>
      <c r="BK4" s="10" t="s">
        <v>576</v>
      </c>
      <c r="BL4" s="10" t="s">
        <v>577</v>
      </c>
      <c r="BM4" s="10" t="s">
        <v>573</v>
      </c>
      <c r="BN4" s="10" t="s">
        <v>562</v>
      </c>
      <c r="BO4" s="10" t="s">
        <v>570</v>
      </c>
      <c r="BP4" s="10" t="s">
        <v>547</v>
      </c>
      <c r="BQ4" s="10" t="s">
        <v>547</v>
      </c>
      <c r="BR4" s="10" t="s">
        <v>548</v>
      </c>
      <c r="BS4" s="10" t="s">
        <v>569</v>
      </c>
      <c r="BT4" s="10" t="s">
        <v>563</v>
      </c>
    </row>
    <row r="5" spans="1:72" s="10" customFormat="1" x14ac:dyDescent="0.15">
      <c r="A5" s="9" t="s">
        <v>578</v>
      </c>
      <c r="B5" s="10" t="s">
        <v>579</v>
      </c>
      <c r="C5" s="10">
        <v>8</v>
      </c>
      <c r="D5" s="10">
        <v>2</v>
      </c>
      <c r="E5" s="10">
        <v>4</v>
      </c>
      <c r="F5" s="10">
        <v>4</v>
      </c>
      <c r="G5" s="10">
        <v>4</v>
      </c>
      <c r="H5" s="10">
        <v>4</v>
      </c>
      <c r="I5" s="10">
        <v>4</v>
      </c>
      <c r="J5" s="10">
        <v>4</v>
      </c>
      <c r="K5" s="10">
        <v>8</v>
      </c>
      <c r="L5" s="10">
        <v>4</v>
      </c>
      <c r="M5" s="10">
        <v>4</v>
      </c>
      <c r="N5" s="10">
        <v>8</v>
      </c>
      <c r="O5" s="10">
        <v>4</v>
      </c>
      <c r="P5" s="10">
        <v>4</v>
      </c>
      <c r="Q5" s="10">
        <v>4</v>
      </c>
      <c r="R5" s="10">
        <v>4</v>
      </c>
      <c r="S5" s="10">
        <v>4</v>
      </c>
      <c r="T5" s="10">
        <v>4</v>
      </c>
      <c r="U5" s="10">
        <v>1</v>
      </c>
      <c r="V5" s="10">
        <v>4</v>
      </c>
      <c r="W5" s="10">
        <v>4</v>
      </c>
      <c r="X5" s="10">
        <v>4</v>
      </c>
      <c r="Y5" s="10">
        <v>1</v>
      </c>
      <c r="Z5" s="10">
        <v>4</v>
      </c>
      <c r="AA5" s="10">
        <v>4</v>
      </c>
      <c r="AB5" s="10">
        <v>4</v>
      </c>
      <c r="AC5" s="10">
        <v>6</v>
      </c>
      <c r="AD5" s="10">
        <v>4</v>
      </c>
      <c r="AE5" s="10">
        <v>4</v>
      </c>
      <c r="AF5" s="10">
        <v>4</v>
      </c>
      <c r="AG5" s="10">
        <v>4</v>
      </c>
      <c r="AH5" s="10">
        <v>4</v>
      </c>
      <c r="AI5" s="10">
        <v>6</v>
      </c>
      <c r="AJ5" s="10">
        <v>4</v>
      </c>
      <c r="AK5" s="10">
        <v>8</v>
      </c>
      <c r="AL5" s="10">
        <v>2</v>
      </c>
      <c r="AM5" s="10">
        <v>4</v>
      </c>
      <c r="AN5" s="10">
        <v>4</v>
      </c>
      <c r="AO5" s="10">
        <v>4</v>
      </c>
      <c r="AP5" s="10">
        <v>4</v>
      </c>
      <c r="AQ5" s="10">
        <v>4</v>
      </c>
      <c r="AR5" s="10">
        <v>6</v>
      </c>
      <c r="AS5" s="10">
        <v>4</v>
      </c>
      <c r="AT5" s="10">
        <v>4</v>
      </c>
      <c r="AU5" s="10">
        <v>4</v>
      </c>
      <c r="AV5" s="10">
        <v>4</v>
      </c>
      <c r="AW5" s="10">
        <v>4</v>
      </c>
      <c r="AX5" s="10">
        <v>4</v>
      </c>
      <c r="AY5" s="10">
        <v>4</v>
      </c>
      <c r="AZ5" s="10">
        <v>4</v>
      </c>
      <c r="BA5" s="10">
        <v>4</v>
      </c>
      <c r="BB5" s="10">
        <v>4</v>
      </c>
      <c r="BC5" s="10">
        <v>4</v>
      </c>
      <c r="BD5" s="10">
        <v>6</v>
      </c>
      <c r="BE5" s="10">
        <v>4</v>
      </c>
      <c r="BF5" s="10">
        <v>4</v>
      </c>
      <c r="BG5" s="10">
        <v>4</v>
      </c>
      <c r="BH5" s="10">
        <v>4</v>
      </c>
      <c r="BI5" s="10">
        <v>6</v>
      </c>
      <c r="BJ5" s="10">
        <v>4</v>
      </c>
      <c r="BK5" s="10">
        <v>4</v>
      </c>
      <c r="BL5" s="10">
        <v>1</v>
      </c>
      <c r="BM5" s="10">
        <v>4</v>
      </c>
      <c r="BN5" s="10">
        <v>4</v>
      </c>
      <c r="BO5" s="10">
        <v>6</v>
      </c>
      <c r="BP5" s="10">
        <v>4</v>
      </c>
      <c r="BQ5" s="10">
        <v>6</v>
      </c>
      <c r="BR5" s="10">
        <v>4</v>
      </c>
      <c r="BS5" s="10">
        <v>4</v>
      </c>
      <c r="BT5" s="10">
        <v>4</v>
      </c>
    </row>
    <row r="6" spans="1:72" s="10" customFormat="1" x14ac:dyDescent="0.15">
      <c r="A6" s="9" t="s">
        <v>580</v>
      </c>
      <c r="B6" s="10" t="s">
        <v>581</v>
      </c>
      <c r="C6" s="11">
        <v>37257</v>
      </c>
      <c r="D6" s="11">
        <v>38718</v>
      </c>
      <c r="F6" s="11">
        <v>36892</v>
      </c>
      <c r="G6" s="11">
        <v>37987</v>
      </c>
      <c r="H6" s="11">
        <v>40452</v>
      </c>
      <c r="I6" s="11">
        <v>39479</v>
      </c>
      <c r="J6" s="12">
        <v>36161</v>
      </c>
      <c r="K6" s="11">
        <v>33239</v>
      </c>
      <c r="L6" s="12">
        <v>39142</v>
      </c>
      <c r="M6" s="11">
        <v>39987</v>
      </c>
      <c r="N6" s="11">
        <v>32874</v>
      </c>
      <c r="O6" s="11">
        <v>36526</v>
      </c>
      <c r="P6" s="11">
        <v>40441</v>
      </c>
      <c r="Q6" s="12">
        <v>39814</v>
      </c>
      <c r="R6" s="10">
        <v>2008</v>
      </c>
      <c r="S6" s="11">
        <v>40392</v>
      </c>
      <c r="T6" s="11">
        <v>40297</v>
      </c>
      <c r="U6" s="12">
        <v>39814</v>
      </c>
      <c r="V6" s="10">
        <v>2006</v>
      </c>
      <c r="Y6" s="12">
        <v>40269</v>
      </c>
      <c r="Z6" s="11">
        <v>40219</v>
      </c>
      <c r="AA6" s="11">
        <v>40026</v>
      </c>
      <c r="AB6" s="11">
        <v>40464</v>
      </c>
      <c r="AC6" s="11">
        <v>39848</v>
      </c>
      <c r="AD6" s="11">
        <v>38353</v>
      </c>
      <c r="AE6" s="10">
        <v>1996</v>
      </c>
      <c r="AF6" s="12">
        <v>40544</v>
      </c>
      <c r="AG6" s="11">
        <v>40422</v>
      </c>
      <c r="AH6" s="12">
        <v>35431</v>
      </c>
      <c r="AI6" s="11">
        <v>39481</v>
      </c>
      <c r="AJ6" s="11">
        <v>40287</v>
      </c>
      <c r="AK6" s="11">
        <v>40274</v>
      </c>
      <c r="AL6" s="11">
        <v>39295</v>
      </c>
      <c r="AM6" s="11">
        <v>39448</v>
      </c>
      <c r="AO6" s="11">
        <v>40233</v>
      </c>
      <c r="AP6" s="11">
        <v>40479</v>
      </c>
      <c r="AQ6" s="11">
        <v>39539</v>
      </c>
      <c r="AR6" s="11">
        <v>39083</v>
      </c>
      <c r="AS6" s="11">
        <v>40323</v>
      </c>
      <c r="AT6" s="12">
        <v>40575</v>
      </c>
      <c r="AU6" s="11">
        <v>40250</v>
      </c>
      <c r="AV6" s="11">
        <v>39693</v>
      </c>
      <c r="AW6" s="11">
        <v>40087</v>
      </c>
      <c r="AX6" s="11">
        <v>40360</v>
      </c>
      <c r="AY6" s="11">
        <v>39083</v>
      </c>
      <c r="AZ6" s="11">
        <v>39448</v>
      </c>
      <c r="BA6" s="11">
        <v>39083</v>
      </c>
      <c r="BB6" s="10">
        <v>2009</v>
      </c>
      <c r="BC6" s="12">
        <v>35065</v>
      </c>
      <c r="BD6" s="11">
        <v>39538</v>
      </c>
      <c r="BE6" s="10">
        <v>2004</v>
      </c>
      <c r="BF6" s="12">
        <v>39083</v>
      </c>
      <c r="BH6" s="11">
        <v>39955</v>
      </c>
      <c r="BJ6" s="12">
        <v>36892</v>
      </c>
      <c r="BK6" s="11">
        <v>39948</v>
      </c>
      <c r="BL6" s="12">
        <v>40513</v>
      </c>
      <c r="BN6" s="12">
        <v>40756</v>
      </c>
      <c r="BO6" s="11">
        <v>39203</v>
      </c>
      <c r="BP6" s="11">
        <v>40533</v>
      </c>
      <c r="BQ6" s="11">
        <v>40115</v>
      </c>
      <c r="BR6" s="11">
        <v>40072</v>
      </c>
      <c r="BT6" s="11">
        <v>39752</v>
      </c>
    </row>
    <row r="7" spans="1:72" s="10" customFormat="1" x14ac:dyDescent="0.15">
      <c r="A7" s="9" t="s">
        <v>582</v>
      </c>
      <c r="B7" s="10" t="s">
        <v>583</v>
      </c>
      <c r="C7" s="10">
        <v>5</v>
      </c>
      <c r="D7" s="10">
        <v>5.4</v>
      </c>
      <c r="E7" s="10">
        <v>2.5</v>
      </c>
      <c r="F7" s="10">
        <v>20</v>
      </c>
      <c r="G7" s="10">
        <v>9.99</v>
      </c>
      <c r="H7" s="10">
        <v>20</v>
      </c>
      <c r="I7" s="10">
        <v>30</v>
      </c>
      <c r="J7" s="10">
        <v>30</v>
      </c>
      <c r="K7" s="10">
        <v>17.29</v>
      </c>
      <c r="L7" s="10">
        <v>10</v>
      </c>
      <c r="M7" s="10">
        <v>15</v>
      </c>
      <c r="N7" s="10">
        <v>6.65</v>
      </c>
      <c r="O7" s="10">
        <v>21.6</v>
      </c>
      <c r="P7" s="10">
        <v>7.5</v>
      </c>
      <c r="Q7" s="10">
        <v>6.66</v>
      </c>
      <c r="R7" s="10">
        <v>10.050000000000001</v>
      </c>
      <c r="S7" s="10">
        <v>13.5</v>
      </c>
      <c r="T7" s="10">
        <v>20.100000000000001</v>
      </c>
      <c r="U7" s="10">
        <v>0</v>
      </c>
      <c r="V7" s="10">
        <v>3.35</v>
      </c>
      <c r="W7" s="10">
        <v>8.1</v>
      </c>
      <c r="X7" s="10">
        <v>13.32</v>
      </c>
      <c r="Y7" s="10">
        <v>15</v>
      </c>
      <c r="Z7" s="10">
        <v>16.7</v>
      </c>
      <c r="AA7" s="10">
        <v>10</v>
      </c>
      <c r="AB7" s="10">
        <v>3.33</v>
      </c>
      <c r="AC7" s="10">
        <v>20</v>
      </c>
      <c r="AD7" s="10">
        <v>8.0399999999999991</v>
      </c>
      <c r="AE7" s="10">
        <v>4.05</v>
      </c>
      <c r="AF7" s="10">
        <v>10</v>
      </c>
      <c r="AG7" s="10">
        <v>20</v>
      </c>
      <c r="AH7" s="10">
        <v>15</v>
      </c>
      <c r="AI7" s="10">
        <v>15</v>
      </c>
      <c r="AJ7" s="10">
        <v>1.35</v>
      </c>
      <c r="AK7" s="10">
        <v>10.64</v>
      </c>
      <c r="AL7" s="10">
        <v>20</v>
      </c>
      <c r="AM7" s="10">
        <v>8.1</v>
      </c>
      <c r="AN7" s="10">
        <v>10</v>
      </c>
      <c r="AO7" s="10">
        <v>20</v>
      </c>
      <c r="AP7" s="10">
        <v>21.6</v>
      </c>
      <c r="AQ7" s="10">
        <v>2.7</v>
      </c>
      <c r="AR7" s="10">
        <v>15</v>
      </c>
      <c r="AS7" s="10">
        <v>10</v>
      </c>
      <c r="AT7" s="10">
        <v>15</v>
      </c>
      <c r="AU7" s="10">
        <v>6.66</v>
      </c>
      <c r="AV7" s="10">
        <v>20</v>
      </c>
      <c r="AW7" s="10">
        <v>20</v>
      </c>
      <c r="AX7" s="10">
        <v>6.65</v>
      </c>
      <c r="AY7" s="10">
        <v>3.33</v>
      </c>
      <c r="AZ7" s="10">
        <v>2.5</v>
      </c>
      <c r="BA7" s="10">
        <v>13.32</v>
      </c>
      <c r="BB7" s="10">
        <v>5</v>
      </c>
      <c r="BC7" s="10">
        <v>7.5</v>
      </c>
      <c r="BD7" s="10">
        <v>15</v>
      </c>
      <c r="BE7" s="10">
        <v>13.32</v>
      </c>
      <c r="BF7" s="10">
        <v>0</v>
      </c>
      <c r="BG7" s="10">
        <v>6.7</v>
      </c>
      <c r="BH7" s="10">
        <v>10.050000000000001</v>
      </c>
      <c r="BI7" s="10">
        <v>300</v>
      </c>
      <c r="BJ7" s="10">
        <v>0</v>
      </c>
      <c r="BK7" s="10">
        <v>10.72</v>
      </c>
      <c r="BL7" s="10">
        <v>9.99</v>
      </c>
      <c r="BM7" s="10">
        <v>5</v>
      </c>
      <c r="BN7" s="10">
        <v>3.35</v>
      </c>
      <c r="BO7" s="10">
        <v>15</v>
      </c>
      <c r="BP7" s="10">
        <v>2.5</v>
      </c>
      <c r="BQ7" s="10">
        <v>20</v>
      </c>
      <c r="BR7" s="10">
        <v>20</v>
      </c>
      <c r="BS7" s="10">
        <v>20</v>
      </c>
      <c r="BT7" s="10">
        <v>13.32</v>
      </c>
    </row>
    <row r="8" spans="1:72" s="10" customFormat="1" x14ac:dyDescent="0.15">
      <c r="A8" s="9" t="s">
        <v>584</v>
      </c>
      <c r="B8" s="10" t="s">
        <v>585</v>
      </c>
      <c r="C8" s="10">
        <v>25</v>
      </c>
      <c r="D8" s="10">
        <v>160</v>
      </c>
      <c r="E8" s="10">
        <v>75</v>
      </c>
      <c r="F8" s="10">
        <v>600</v>
      </c>
      <c r="G8" s="10">
        <v>300</v>
      </c>
      <c r="H8" s="10">
        <v>600</v>
      </c>
      <c r="I8" s="10">
        <v>900</v>
      </c>
      <c r="J8" s="10">
        <v>900</v>
      </c>
      <c r="K8" s="10">
        <v>87.1</v>
      </c>
      <c r="L8" s="10">
        <v>300</v>
      </c>
      <c r="M8" s="10">
        <v>450</v>
      </c>
      <c r="N8" s="10">
        <v>33.5</v>
      </c>
      <c r="O8" s="10">
        <v>640</v>
      </c>
      <c r="P8" s="10">
        <v>225</v>
      </c>
      <c r="Q8" s="10">
        <v>200</v>
      </c>
      <c r="R8" s="10">
        <v>300</v>
      </c>
      <c r="S8" s="10">
        <v>400</v>
      </c>
      <c r="T8" s="10">
        <v>600</v>
      </c>
      <c r="U8" s="10">
        <v>0</v>
      </c>
      <c r="V8" s="10">
        <v>100</v>
      </c>
      <c r="W8" s="10">
        <v>240</v>
      </c>
      <c r="X8" s="10">
        <v>400</v>
      </c>
      <c r="Y8" s="10">
        <v>450</v>
      </c>
      <c r="Z8" s="10">
        <v>500</v>
      </c>
      <c r="AA8" s="10">
        <v>300</v>
      </c>
      <c r="AB8" s="10">
        <v>100</v>
      </c>
      <c r="AC8" s="10">
        <v>100</v>
      </c>
      <c r="AD8" s="10">
        <v>240</v>
      </c>
      <c r="AE8" s="10">
        <v>120</v>
      </c>
      <c r="AF8" s="10">
        <v>300</v>
      </c>
      <c r="AG8" s="10">
        <v>600</v>
      </c>
      <c r="AH8" s="10">
        <v>450</v>
      </c>
      <c r="AI8" s="10">
        <v>75</v>
      </c>
      <c r="AJ8" s="10">
        <v>40</v>
      </c>
      <c r="AK8" s="10">
        <v>53.6</v>
      </c>
      <c r="AL8" s="10">
        <v>600</v>
      </c>
      <c r="AM8" s="10">
        <v>240</v>
      </c>
      <c r="AN8" s="10">
        <v>300</v>
      </c>
      <c r="AO8" s="10">
        <v>100</v>
      </c>
      <c r="AP8" s="10">
        <v>640</v>
      </c>
      <c r="AQ8" s="10">
        <v>80</v>
      </c>
      <c r="AR8" s="10">
        <v>75</v>
      </c>
      <c r="AS8" s="10">
        <v>300</v>
      </c>
      <c r="AT8" s="10">
        <v>450</v>
      </c>
      <c r="AU8" s="10">
        <v>200</v>
      </c>
      <c r="AV8" s="10">
        <v>600</v>
      </c>
      <c r="AW8" s="10">
        <v>600</v>
      </c>
      <c r="AX8" s="10">
        <v>33.5</v>
      </c>
      <c r="AY8" s="10">
        <v>100</v>
      </c>
      <c r="AZ8" s="10">
        <v>75</v>
      </c>
      <c r="BA8" s="10">
        <v>400</v>
      </c>
      <c r="BB8" s="10">
        <v>150</v>
      </c>
      <c r="BC8" s="10">
        <v>225</v>
      </c>
      <c r="BD8" s="10">
        <v>75</v>
      </c>
      <c r="BE8" s="10">
        <v>400</v>
      </c>
      <c r="BF8" s="10">
        <v>0</v>
      </c>
      <c r="BG8" s="10">
        <v>200</v>
      </c>
      <c r="BH8" s="10">
        <v>300</v>
      </c>
      <c r="BI8" s="10">
        <v>9000</v>
      </c>
      <c r="BJ8" s="10">
        <v>0</v>
      </c>
      <c r="BK8" s="10">
        <v>320</v>
      </c>
      <c r="BL8" s="10">
        <v>300</v>
      </c>
      <c r="BM8" s="10">
        <v>150</v>
      </c>
      <c r="BN8" s="10">
        <v>100</v>
      </c>
      <c r="BO8" s="10">
        <v>75</v>
      </c>
      <c r="BP8" s="10">
        <v>75</v>
      </c>
      <c r="BQ8" s="10">
        <v>100</v>
      </c>
      <c r="BR8" s="10">
        <v>600</v>
      </c>
      <c r="BS8" s="10">
        <v>600</v>
      </c>
      <c r="BT8" s="10">
        <v>400</v>
      </c>
    </row>
    <row r="9" spans="1:72" s="10" customFormat="1" x14ac:dyDescent="0.15">
      <c r="A9" s="9" t="s">
        <v>586</v>
      </c>
      <c r="B9" s="10" t="s">
        <v>587</v>
      </c>
      <c r="C9" s="10">
        <v>5</v>
      </c>
      <c r="D9" s="10">
        <v>5.4</v>
      </c>
      <c r="E9" s="10">
        <v>2.5</v>
      </c>
      <c r="F9" s="10">
        <v>20</v>
      </c>
      <c r="G9" s="10">
        <v>9.99</v>
      </c>
      <c r="H9" s="10">
        <v>20</v>
      </c>
      <c r="I9" s="10">
        <v>30</v>
      </c>
      <c r="J9" s="10">
        <v>30</v>
      </c>
      <c r="K9" s="10">
        <v>17.29</v>
      </c>
      <c r="L9" s="10">
        <v>10</v>
      </c>
      <c r="M9" s="10">
        <v>25.05</v>
      </c>
      <c r="N9" s="10">
        <v>6.65</v>
      </c>
      <c r="O9" s="10">
        <v>21.6</v>
      </c>
      <c r="P9" s="10">
        <v>7.5</v>
      </c>
      <c r="Q9" s="10">
        <v>6.66</v>
      </c>
      <c r="R9" s="10">
        <v>10.050000000000001</v>
      </c>
      <c r="S9" s="10">
        <v>16.850000000000001</v>
      </c>
      <c r="T9" s="10">
        <v>20.100000000000001</v>
      </c>
      <c r="U9" s="10">
        <v>6.7</v>
      </c>
      <c r="V9" s="10">
        <v>3.35</v>
      </c>
      <c r="W9" s="10">
        <v>31.375</v>
      </c>
      <c r="X9" s="10">
        <v>23.32</v>
      </c>
      <c r="Y9" s="10">
        <v>15</v>
      </c>
      <c r="Z9" s="10">
        <v>16.7</v>
      </c>
      <c r="AA9" s="10">
        <v>31.6</v>
      </c>
      <c r="AB9" s="10">
        <v>3.33</v>
      </c>
      <c r="AC9" s="10">
        <v>40</v>
      </c>
      <c r="AD9" s="10">
        <v>8.0399999999999991</v>
      </c>
      <c r="AE9" s="10">
        <v>4.05</v>
      </c>
      <c r="AF9" s="10">
        <v>10</v>
      </c>
      <c r="AG9" s="10">
        <v>20</v>
      </c>
      <c r="AH9" s="10">
        <v>15</v>
      </c>
      <c r="AI9" s="10">
        <v>15</v>
      </c>
      <c r="AJ9" s="10">
        <v>18.670000000000002</v>
      </c>
      <c r="AK9" s="10">
        <v>10.64</v>
      </c>
      <c r="AL9" s="10">
        <v>20</v>
      </c>
      <c r="AM9" s="10">
        <v>8.1</v>
      </c>
      <c r="AN9" s="10">
        <v>10</v>
      </c>
      <c r="AO9" s="10">
        <v>23.33</v>
      </c>
      <c r="AP9" s="10">
        <v>34.9</v>
      </c>
      <c r="AQ9" s="10">
        <v>16.02</v>
      </c>
      <c r="AR9" s="10">
        <v>15</v>
      </c>
      <c r="AS9" s="10">
        <v>10</v>
      </c>
      <c r="AT9" s="10">
        <v>15</v>
      </c>
      <c r="AU9" s="10">
        <v>6.66</v>
      </c>
      <c r="AV9" s="10">
        <v>20</v>
      </c>
      <c r="AW9" s="10">
        <v>60.2</v>
      </c>
      <c r="AX9" s="10">
        <v>6.65</v>
      </c>
      <c r="AY9" s="10">
        <v>3.33</v>
      </c>
      <c r="AZ9" s="10">
        <v>2.5</v>
      </c>
      <c r="BA9" s="10">
        <v>13.32</v>
      </c>
      <c r="BB9" s="10">
        <v>5</v>
      </c>
      <c r="BC9" s="10">
        <v>7.5</v>
      </c>
      <c r="BD9" s="10">
        <v>16.350000000000001</v>
      </c>
      <c r="BE9" s="10">
        <v>13.32</v>
      </c>
      <c r="BF9" s="10">
        <v>0</v>
      </c>
      <c r="BG9" s="10">
        <v>6.7</v>
      </c>
      <c r="BH9" s="10">
        <v>10.050000000000001</v>
      </c>
      <c r="BI9" s="10">
        <v>300</v>
      </c>
      <c r="BJ9" s="10">
        <v>10</v>
      </c>
      <c r="BK9" s="10">
        <v>10.72</v>
      </c>
      <c r="BL9" s="10">
        <v>9.99</v>
      </c>
      <c r="BM9" s="10">
        <v>5</v>
      </c>
      <c r="BN9" s="10">
        <v>3.35</v>
      </c>
      <c r="BO9" s="10">
        <v>18.329999999999998</v>
      </c>
      <c r="BP9" s="10">
        <v>22.56</v>
      </c>
      <c r="BQ9" s="10">
        <v>50</v>
      </c>
      <c r="BR9" s="10">
        <v>20</v>
      </c>
      <c r="BS9" s="10">
        <v>20</v>
      </c>
      <c r="BT9" s="10">
        <v>17.170000000000002</v>
      </c>
    </row>
    <row r="10" spans="1:72" s="14" customFormat="1" x14ac:dyDescent="0.15">
      <c r="A10" s="13" t="s">
        <v>588</v>
      </c>
      <c r="B10" s="14" t="s">
        <v>589</v>
      </c>
      <c r="C10" s="14">
        <v>25</v>
      </c>
      <c r="D10" s="14">
        <v>160</v>
      </c>
      <c r="E10" s="14">
        <v>75</v>
      </c>
      <c r="F10" s="14">
        <v>600</v>
      </c>
      <c r="G10" s="14">
        <v>300</v>
      </c>
      <c r="H10" s="14">
        <v>600</v>
      </c>
      <c r="I10" s="14">
        <v>900</v>
      </c>
      <c r="J10" s="14">
        <v>900</v>
      </c>
      <c r="K10" s="14">
        <v>87.1</v>
      </c>
      <c r="L10" s="14">
        <v>300</v>
      </c>
      <c r="M10" s="14">
        <v>750</v>
      </c>
      <c r="N10" s="14">
        <v>33.5</v>
      </c>
      <c r="O10" s="14">
        <v>640</v>
      </c>
      <c r="P10" s="14">
        <v>225</v>
      </c>
      <c r="Q10" s="14">
        <v>200</v>
      </c>
      <c r="R10" s="14">
        <v>300</v>
      </c>
      <c r="S10" s="14">
        <v>500</v>
      </c>
      <c r="T10" s="14">
        <v>600</v>
      </c>
      <c r="U10" s="14">
        <v>200</v>
      </c>
      <c r="V10" s="14">
        <v>100</v>
      </c>
      <c r="W10" s="14">
        <v>357.25</v>
      </c>
      <c r="X10" s="14">
        <v>700</v>
      </c>
      <c r="Y10" s="14">
        <v>450</v>
      </c>
      <c r="Z10" s="14">
        <v>500</v>
      </c>
      <c r="AA10" s="14">
        <v>940</v>
      </c>
      <c r="AB10" s="14">
        <v>100</v>
      </c>
      <c r="AC10" s="14">
        <v>200</v>
      </c>
      <c r="AD10" s="14">
        <v>240</v>
      </c>
      <c r="AE10" s="14">
        <v>120</v>
      </c>
      <c r="AF10" s="14">
        <v>300</v>
      </c>
      <c r="AG10" s="14">
        <v>600</v>
      </c>
      <c r="AH10" s="14">
        <v>450</v>
      </c>
      <c r="AI10" s="14">
        <v>75</v>
      </c>
      <c r="AJ10" s="14">
        <v>460</v>
      </c>
      <c r="AK10" s="14">
        <v>53.6</v>
      </c>
      <c r="AL10" s="14">
        <v>600</v>
      </c>
      <c r="AM10" s="14">
        <v>240</v>
      </c>
      <c r="AN10" s="14">
        <v>300</v>
      </c>
      <c r="AO10" s="14">
        <v>200</v>
      </c>
      <c r="AP10" s="14">
        <v>707</v>
      </c>
      <c r="AQ10" s="14">
        <v>480</v>
      </c>
      <c r="AR10" s="14">
        <v>75</v>
      </c>
      <c r="AS10" s="14">
        <v>300</v>
      </c>
      <c r="AT10" s="14">
        <v>450</v>
      </c>
      <c r="AU10" s="14">
        <v>200</v>
      </c>
      <c r="AV10" s="14">
        <v>600</v>
      </c>
      <c r="AW10" s="14">
        <v>1800</v>
      </c>
      <c r="AX10" s="14">
        <v>33.5</v>
      </c>
      <c r="AY10" s="14">
        <v>100</v>
      </c>
      <c r="AZ10" s="14">
        <v>75</v>
      </c>
      <c r="BA10" s="14">
        <v>400</v>
      </c>
      <c r="BB10" s="14">
        <v>150</v>
      </c>
      <c r="BC10" s="14">
        <v>225</v>
      </c>
      <c r="BD10" s="14">
        <v>115</v>
      </c>
      <c r="BE10" s="14">
        <v>400</v>
      </c>
      <c r="BF10" s="14">
        <v>0</v>
      </c>
      <c r="BG10" s="14">
        <v>200</v>
      </c>
      <c r="BH10" s="14">
        <v>300</v>
      </c>
      <c r="BI10" s="14">
        <v>9000</v>
      </c>
      <c r="BJ10" s="14">
        <v>50</v>
      </c>
      <c r="BK10" s="14">
        <v>320</v>
      </c>
      <c r="BL10" s="14">
        <v>300</v>
      </c>
      <c r="BM10" s="14">
        <v>150</v>
      </c>
      <c r="BN10" s="14">
        <v>100</v>
      </c>
      <c r="BO10" s="14">
        <v>175</v>
      </c>
      <c r="BP10" s="14">
        <v>675</v>
      </c>
      <c r="BQ10" s="14">
        <v>1000</v>
      </c>
      <c r="BR10" s="14">
        <v>600</v>
      </c>
      <c r="BS10" s="14">
        <v>600</v>
      </c>
      <c r="BT10" s="14">
        <v>515</v>
      </c>
    </row>
    <row r="12" spans="1:72" s="8" customFormat="1" x14ac:dyDescent="0.15">
      <c r="A12" s="7" t="s">
        <v>590</v>
      </c>
      <c r="B12" s="8" t="s">
        <v>539</v>
      </c>
      <c r="D12" s="8">
        <v>2017</v>
      </c>
      <c r="G12" s="8">
        <v>2021</v>
      </c>
      <c r="K12" s="8">
        <v>1022</v>
      </c>
      <c r="L12" s="8">
        <v>2002</v>
      </c>
      <c r="M12" s="8">
        <v>4000</v>
      </c>
      <c r="O12" s="8">
        <v>1013</v>
      </c>
      <c r="P12" s="8">
        <v>1013</v>
      </c>
      <c r="R12" s="8">
        <v>2017</v>
      </c>
      <c r="S12" s="8">
        <v>4000</v>
      </c>
      <c r="T12" s="8">
        <v>1020</v>
      </c>
      <c r="U12" s="8">
        <v>4000</v>
      </c>
      <c r="V12" s="8">
        <v>1013</v>
      </c>
      <c r="W12" s="8">
        <v>4012</v>
      </c>
      <c r="X12" s="8">
        <v>4001</v>
      </c>
      <c r="Z12" s="8">
        <v>3002</v>
      </c>
      <c r="AA12" s="8">
        <v>4003</v>
      </c>
      <c r="AB12" s="8">
        <v>1023</v>
      </c>
      <c r="AC12" s="8">
        <v>4005</v>
      </c>
      <c r="AD12" s="8">
        <v>2017</v>
      </c>
      <c r="AG12" s="8">
        <v>2008</v>
      </c>
      <c r="AI12" s="8">
        <v>1005</v>
      </c>
      <c r="AJ12" s="8">
        <v>4005</v>
      </c>
      <c r="AO12" s="8">
        <v>4004</v>
      </c>
      <c r="AP12" s="8">
        <v>1020</v>
      </c>
      <c r="AQ12" s="8">
        <v>4004</v>
      </c>
      <c r="AR12" s="8">
        <v>2007</v>
      </c>
      <c r="AS12" s="8">
        <v>2017</v>
      </c>
      <c r="AU12" s="8">
        <v>2017</v>
      </c>
      <c r="AW12" s="8">
        <v>4018</v>
      </c>
      <c r="AX12" s="8">
        <v>1023</v>
      </c>
      <c r="BA12" s="8">
        <v>1013</v>
      </c>
      <c r="BB12" s="8">
        <v>2009</v>
      </c>
      <c r="BD12" s="8">
        <v>4003</v>
      </c>
      <c r="BH12" s="8">
        <v>2001</v>
      </c>
      <c r="BJ12" s="8">
        <v>4005</v>
      </c>
      <c r="BK12" s="8">
        <v>1003</v>
      </c>
      <c r="BL12" s="8">
        <v>2008</v>
      </c>
      <c r="BM12" s="8">
        <v>2001</v>
      </c>
      <c r="BO12" s="8">
        <v>4004</v>
      </c>
      <c r="BP12" s="8">
        <v>3002</v>
      </c>
      <c r="BQ12" s="8">
        <v>4002</v>
      </c>
      <c r="BR12" s="8">
        <v>1023</v>
      </c>
      <c r="BS12" s="8">
        <v>2017</v>
      </c>
      <c r="BT12" s="8">
        <v>4006</v>
      </c>
    </row>
    <row r="13" spans="1:72" s="10" customFormat="1" x14ac:dyDescent="0.15">
      <c r="A13" s="9" t="s">
        <v>591</v>
      </c>
      <c r="B13" s="10" t="s">
        <v>544</v>
      </c>
      <c r="D13" s="10" t="s">
        <v>572</v>
      </c>
      <c r="G13" s="10" t="s">
        <v>554</v>
      </c>
      <c r="J13" s="10" t="s">
        <v>547</v>
      </c>
      <c r="K13" s="10" t="s">
        <v>557</v>
      </c>
      <c r="L13" s="10" t="s">
        <v>553</v>
      </c>
      <c r="M13" s="10" t="s">
        <v>558</v>
      </c>
      <c r="O13" s="10" t="s">
        <v>566</v>
      </c>
      <c r="P13" s="10" t="s">
        <v>592</v>
      </c>
      <c r="Q13" s="10" t="s">
        <v>572</v>
      </c>
      <c r="R13" s="10" t="s">
        <v>568</v>
      </c>
      <c r="S13" s="10" t="s">
        <v>562</v>
      </c>
      <c r="T13" s="10" t="s">
        <v>553</v>
      </c>
      <c r="U13" s="10" t="s">
        <v>593</v>
      </c>
      <c r="V13" s="10" t="s">
        <v>594</v>
      </c>
      <c r="W13" s="10" t="s">
        <v>595</v>
      </c>
      <c r="X13" s="10" t="s">
        <v>546</v>
      </c>
      <c r="Z13" s="10" t="s">
        <v>559</v>
      </c>
      <c r="AA13" s="10" t="s">
        <v>555</v>
      </c>
      <c r="AB13" s="10" t="s">
        <v>548</v>
      </c>
      <c r="AC13" s="10" t="s">
        <v>547</v>
      </c>
      <c r="AD13" s="10" t="s">
        <v>568</v>
      </c>
      <c r="AG13" s="10" t="s">
        <v>573</v>
      </c>
      <c r="AI13" s="10" t="s">
        <v>560</v>
      </c>
      <c r="AJ13" s="10" t="s">
        <v>553</v>
      </c>
      <c r="AL13" s="10" t="s">
        <v>573</v>
      </c>
      <c r="AO13" s="10" t="s">
        <v>566</v>
      </c>
      <c r="AP13" s="10" t="s">
        <v>553</v>
      </c>
      <c r="AQ13" s="10" t="s">
        <v>563</v>
      </c>
      <c r="AR13" s="10" t="s">
        <v>553</v>
      </c>
      <c r="AS13" s="10" t="s">
        <v>546</v>
      </c>
      <c r="AU13" s="10" t="s">
        <v>572</v>
      </c>
      <c r="AW13" s="10" t="s">
        <v>556</v>
      </c>
      <c r="AX13" s="10" t="s">
        <v>556</v>
      </c>
      <c r="BA13" s="10" t="s">
        <v>566</v>
      </c>
      <c r="BB13" s="10" t="s">
        <v>554</v>
      </c>
      <c r="BD13" s="10" t="s">
        <v>547</v>
      </c>
      <c r="BF13" s="10" t="s">
        <v>596</v>
      </c>
      <c r="BH13" s="10" t="s">
        <v>554</v>
      </c>
      <c r="BJ13" s="10" t="s">
        <v>597</v>
      </c>
      <c r="BK13" s="10" t="s">
        <v>557</v>
      </c>
      <c r="BL13" s="10" t="s">
        <v>598</v>
      </c>
      <c r="BM13" s="10" t="s">
        <v>568</v>
      </c>
      <c r="BO13" s="10" t="s">
        <v>566</v>
      </c>
      <c r="BP13" s="10" t="s">
        <v>599</v>
      </c>
      <c r="BQ13" s="10" t="s">
        <v>560</v>
      </c>
      <c r="BR13" s="10" t="s">
        <v>548</v>
      </c>
      <c r="BT13" s="10" t="s">
        <v>548</v>
      </c>
    </row>
    <row r="14" spans="1:72" s="10" customFormat="1" x14ac:dyDescent="0.15">
      <c r="A14" s="9" t="s">
        <v>600</v>
      </c>
      <c r="B14" s="10" t="s">
        <v>579</v>
      </c>
      <c r="D14" s="10">
        <v>4</v>
      </c>
      <c r="G14" s="10">
        <v>4</v>
      </c>
      <c r="J14" s="10">
        <v>4</v>
      </c>
      <c r="K14" s="10">
        <v>4</v>
      </c>
      <c r="L14" s="10">
        <v>4</v>
      </c>
      <c r="M14" s="10">
        <v>4</v>
      </c>
      <c r="O14" s="10">
        <v>4</v>
      </c>
      <c r="P14" s="10">
        <v>4</v>
      </c>
      <c r="Q14" s="10">
        <v>2</v>
      </c>
      <c r="R14" s="10">
        <v>4</v>
      </c>
      <c r="S14" s="10">
        <v>4</v>
      </c>
      <c r="T14" s="10">
        <v>4</v>
      </c>
      <c r="U14" s="10">
        <v>1</v>
      </c>
      <c r="V14" s="10">
        <v>4</v>
      </c>
      <c r="W14" s="10">
        <v>8</v>
      </c>
      <c r="X14" s="10">
        <v>4</v>
      </c>
      <c r="Z14" s="10">
        <v>4</v>
      </c>
      <c r="AA14" s="10">
        <v>4</v>
      </c>
      <c r="AB14" s="10">
        <v>4</v>
      </c>
      <c r="AC14" s="10">
        <v>6</v>
      </c>
      <c r="AD14" s="10">
        <v>4</v>
      </c>
      <c r="AG14" s="10">
        <v>4</v>
      </c>
      <c r="AI14" s="10">
        <v>4</v>
      </c>
      <c r="AJ14" s="10">
        <v>6</v>
      </c>
      <c r="AO14" s="10">
        <v>4</v>
      </c>
      <c r="AP14" s="10">
        <v>4</v>
      </c>
      <c r="AQ14" s="10">
        <v>4</v>
      </c>
      <c r="AR14" s="10">
        <v>4</v>
      </c>
      <c r="AS14" s="10">
        <v>4</v>
      </c>
      <c r="AU14" s="10">
        <v>4</v>
      </c>
      <c r="AW14" s="10">
        <v>4</v>
      </c>
      <c r="AX14" s="10">
        <v>4</v>
      </c>
      <c r="BA14" s="10">
        <v>4</v>
      </c>
      <c r="BB14" s="10">
        <v>4</v>
      </c>
      <c r="BD14" s="10">
        <v>4</v>
      </c>
      <c r="BF14" s="10">
        <v>4</v>
      </c>
      <c r="BH14" s="10">
        <v>4</v>
      </c>
      <c r="BJ14" s="10">
        <v>6</v>
      </c>
      <c r="BK14" s="10">
        <v>4</v>
      </c>
      <c r="BL14" s="10">
        <v>1</v>
      </c>
      <c r="BM14" s="10">
        <v>4</v>
      </c>
      <c r="BO14" s="10">
        <v>4</v>
      </c>
      <c r="BP14" s="10">
        <v>4</v>
      </c>
      <c r="BQ14" s="10">
        <v>4</v>
      </c>
      <c r="BR14" s="10">
        <v>4</v>
      </c>
      <c r="BT14" s="10">
        <v>4</v>
      </c>
    </row>
    <row r="15" spans="1:72" s="10" customFormat="1" x14ac:dyDescent="0.15">
      <c r="A15" s="9" t="s">
        <v>601</v>
      </c>
      <c r="B15" s="10" t="s">
        <v>581</v>
      </c>
      <c r="D15" s="11">
        <v>33239</v>
      </c>
      <c r="G15" s="11">
        <v>38718</v>
      </c>
      <c r="J15" s="12">
        <v>37622</v>
      </c>
      <c r="K15" s="11">
        <v>40430</v>
      </c>
      <c r="L15" s="12">
        <v>39142</v>
      </c>
      <c r="M15" s="11">
        <v>39972</v>
      </c>
      <c r="O15" s="11">
        <v>36526</v>
      </c>
      <c r="P15" s="11">
        <v>40441</v>
      </c>
      <c r="Q15" s="12">
        <v>39814</v>
      </c>
      <c r="R15" s="10">
        <v>2005</v>
      </c>
      <c r="S15" s="11">
        <v>40352</v>
      </c>
      <c r="T15" s="11">
        <v>40297</v>
      </c>
      <c r="U15" s="12">
        <v>40603</v>
      </c>
      <c r="V15" s="10">
        <v>2000</v>
      </c>
      <c r="Z15" s="11">
        <v>40219</v>
      </c>
      <c r="AA15" s="11">
        <v>40026</v>
      </c>
      <c r="AB15" s="11">
        <v>40269</v>
      </c>
      <c r="AC15" s="11">
        <v>39850</v>
      </c>
      <c r="AD15" s="11">
        <v>38353</v>
      </c>
      <c r="AG15" s="11">
        <v>40422</v>
      </c>
      <c r="AI15" s="11">
        <v>39116</v>
      </c>
      <c r="AJ15" s="11">
        <v>40336</v>
      </c>
      <c r="AO15" s="11">
        <v>40233</v>
      </c>
      <c r="AP15" s="11">
        <v>40479</v>
      </c>
      <c r="AQ15" s="11">
        <v>39539</v>
      </c>
      <c r="AR15" s="11">
        <v>39934</v>
      </c>
      <c r="AS15" s="11">
        <v>40323</v>
      </c>
      <c r="AU15" s="11">
        <v>38337</v>
      </c>
      <c r="AW15" s="11">
        <v>40179</v>
      </c>
      <c r="AX15" s="11">
        <v>40360</v>
      </c>
      <c r="BA15" s="11">
        <v>39814</v>
      </c>
      <c r="BB15" s="10">
        <v>2009</v>
      </c>
      <c r="BD15" s="11">
        <v>39814</v>
      </c>
      <c r="BF15" s="12">
        <v>39083</v>
      </c>
      <c r="BH15" s="11">
        <v>40162</v>
      </c>
      <c r="BJ15" s="12">
        <v>36892</v>
      </c>
      <c r="BK15" s="11">
        <v>39948</v>
      </c>
      <c r="BL15" s="12">
        <v>40634</v>
      </c>
      <c r="BO15" s="11">
        <v>39203</v>
      </c>
      <c r="BP15" s="11">
        <v>40533</v>
      </c>
      <c r="BQ15" s="11">
        <v>40141</v>
      </c>
      <c r="BR15" s="11">
        <v>40207</v>
      </c>
      <c r="BT15" s="11">
        <v>39752</v>
      </c>
    </row>
    <row r="16" spans="1:72" s="10" customFormat="1" x14ac:dyDescent="0.15">
      <c r="A16" s="9" t="s">
        <v>602</v>
      </c>
      <c r="B16" s="10" t="s">
        <v>583</v>
      </c>
      <c r="D16" s="10">
        <v>0</v>
      </c>
      <c r="G16" s="10">
        <v>0</v>
      </c>
      <c r="J16" s="10">
        <v>0</v>
      </c>
      <c r="K16" s="10">
        <v>0</v>
      </c>
      <c r="L16" s="10">
        <v>0</v>
      </c>
      <c r="M16" s="10">
        <v>10.050000000000001</v>
      </c>
      <c r="O16" s="10">
        <v>0</v>
      </c>
      <c r="P16" s="10">
        <v>0</v>
      </c>
      <c r="Q16" s="10">
        <v>0</v>
      </c>
      <c r="R16" s="10">
        <v>0</v>
      </c>
      <c r="S16" s="10">
        <v>3.35</v>
      </c>
      <c r="T16" s="10">
        <v>0</v>
      </c>
      <c r="U16" s="10">
        <v>6.7</v>
      </c>
      <c r="V16" s="10">
        <v>0</v>
      </c>
      <c r="W16" s="10">
        <v>23.274999999999999</v>
      </c>
      <c r="X16" s="10">
        <v>10</v>
      </c>
      <c r="Z16" s="10">
        <v>0</v>
      </c>
      <c r="AA16" s="10">
        <v>21.6</v>
      </c>
      <c r="AB16" s="10">
        <v>0</v>
      </c>
      <c r="AC16" s="10">
        <v>20</v>
      </c>
      <c r="AD16" s="10">
        <v>0</v>
      </c>
      <c r="AG16" s="10">
        <v>0</v>
      </c>
      <c r="AI16" s="10">
        <v>0</v>
      </c>
      <c r="AJ16" s="10">
        <v>4</v>
      </c>
      <c r="AL16" s="10">
        <v>0</v>
      </c>
      <c r="AO16" s="10">
        <v>3.33</v>
      </c>
      <c r="AP16" s="10">
        <v>0</v>
      </c>
      <c r="AQ16" s="10">
        <v>13.32</v>
      </c>
      <c r="AR16" s="10">
        <v>0</v>
      </c>
      <c r="AS16" s="10">
        <v>0</v>
      </c>
      <c r="AU16" s="10">
        <v>0</v>
      </c>
      <c r="AW16" s="10">
        <v>40.200000000000003</v>
      </c>
      <c r="AX16" s="10">
        <v>0</v>
      </c>
      <c r="BA16" s="10">
        <v>0</v>
      </c>
      <c r="BB16" s="10">
        <v>0</v>
      </c>
      <c r="BD16" s="10">
        <v>1.35</v>
      </c>
      <c r="BF16" s="10">
        <v>0</v>
      </c>
      <c r="BH16" s="10">
        <v>0</v>
      </c>
      <c r="BJ16" s="10">
        <v>10</v>
      </c>
      <c r="BK16" s="10">
        <v>0</v>
      </c>
      <c r="BL16" s="10">
        <v>0</v>
      </c>
      <c r="BM16" s="10">
        <v>0</v>
      </c>
      <c r="BO16" s="10">
        <v>3.33</v>
      </c>
      <c r="BP16" s="10">
        <v>0</v>
      </c>
      <c r="BQ16" s="10">
        <v>30</v>
      </c>
      <c r="BR16" s="10">
        <v>0</v>
      </c>
      <c r="BS16" s="10">
        <v>0</v>
      </c>
      <c r="BT16" s="10">
        <v>2.5</v>
      </c>
    </row>
    <row r="17" spans="1:72" s="10" customFormat="1" x14ac:dyDescent="0.15">
      <c r="A17" s="9" t="s">
        <v>603</v>
      </c>
      <c r="B17" s="10" t="s">
        <v>587</v>
      </c>
      <c r="D17" s="10">
        <v>5.4</v>
      </c>
      <c r="G17" s="10">
        <v>9.99</v>
      </c>
      <c r="J17" s="10">
        <v>30</v>
      </c>
      <c r="K17" s="10">
        <v>17.29</v>
      </c>
      <c r="L17" s="10">
        <v>10</v>
      </c>
      <c r="M17" s="10">
        <v>25.05</v>
      </c>
      <c r="O17" s="10">
        <v>21.6</v>
      </c>
      <c r="P17" s="10">
        <v>7.5</v>
      </c>
      <c r="Q17" s="10">
        <v>6.66</v>
      </c>
      <c r="R17" s="10">
        <v>10.050000000000001</v>
      </c>
      <c r="S17" s="10">
        <v>16.850000000000001</v>
      </c>
      <c r="T17" s="10">
        <v>20.100000000000001</v>
      </c>
      <c r="U17" s="10">
        <v>6.7</v>
      </c>
      <c r="V17" s="10">
        <v>3.35</v>
      </c>
      <c r="W17" s="10">
        <v>31.375</v>
      </c>
      <c r="X17" s="10">
        <v>23.32</v>
      </c>
      <c r="Z17" s="10">
        <v>16.7</v>
      </c>
      <c r="AA17" s="10">
        <v>31.6</v>
      </c>
      <c r="AB17" s="10">
        <v>3.33</v>
      </c>
      <c r="AC17" s="10">
        <v>40</v>
      </c>
      <c r="AD17" s="10">
        <v>8.0399999999999991</v>
      </c>
      <c r="AG17" s="10">
        <v>20</v>
      </c>
      <c r="AI17" s="10">
        <v>15</v>
      </c>
      <c r="AJ17" s="10">
        <v>18.670000000000002</v>
      </c>
      <c r="AL17" s="10">
        <v>20</v>
      </c>
      <c r="AO17" s="10">
        <v>23.33</v>
      </c>
      <c r="AP17" s="10">
        <v>34.9</v>
      </c>
      <c r="AQ17" s="10">
        <v>16.02</v>
      </c>
      <c r="AR17" s="10">
        <v>15</v>
      </c>
      <c r="AS17" s="10">
        <v>10</v>
      </c>
      <c r="AU17" s="10">
        <v>6.66</v>
      </c>
      <c r="AW17" s="10">
        <v>60.2</v>
      </c>
      <c r="AX17" s="10">
        <v>6.65</v>
      </c>
      <c r="BA17" s="10">
        <v>13.32</v>
      </c>
      <c r="BB17" s="10">
        <v>5</v>
      </c>
      <c r="BD17" s="10">
        <v>16.350000000000001</v>
      </c>
      <c r="BF17" s="10">
        <v>0</v>
      </c>
      <c r="BH17" s="10">
        <v>10.050000000000001</v>
      </c>
      <c r="BJ17" s="10">
        <v>10</v>
      </c>
      <c r="BK17" s="10">
        <v>10.72</v>
      </c>
      <c r="BL17" s="10">
        <v>9.99</v>
      </c>
      <c r="BM17" s="10">
        <v>5</v>
      </c>
      <c r="BO17" s="10">
        <v>18.329999999999998</v>
      </c>
      <c r="BP17" s="10">
        <v>22.56</v>
      </c>
      <c r="BQ17" s="10">
        <v>50</v>
      </c>
      <c r="BR17" s="10">
        <v>20</v>
      </c>
      <c r="BS17" s="10">
        <v>20</v>
      </c>
      <c r="BT17" s="10">
        <v>17.170000000000002</v>
      </c>
    </row>
    <row r="18" spans="1:72" s="10" customFormat="1" x14ac:dyDescent="0.15">
      <c r="A18" s="9" t="s">
        <v>604</v>
      </c>
      <c r="B18" s="10" t="s">
        <v>585</v>
      </c>
      <c r="D18" s="10">
        <v>0</v>
      </c>
      <c r="G18" s="10">
        <v>0</v>
      </c>
      <c r="J18" s="10">
        <v>0</v>
      </c>
      <c r="K18" s="10">
        <v>0</v>
      </c>
      <c r="L18" s="10">
        <v>0</v>
      </c>
      <c r="M18" s="10">
        <v>300</v>
      </c>
      <c r="O18" s="10">
        <v>0</v>
      </c>
      <c r="P18" s="10">
        <v>0</v>
      </c>
      <c r="Q18" s="10">
        <v>0</v>
      </c>
      <c r="R18" s="10">
        <v>0</v>
      </c>
      <c r="S18" s="10">
        <v>100</v>
      </c>
      <c r="T18" s="10">
        <v>0</v>
      </c>
      <c r="U18" s="10">
        <v>200</v>
      </c>
      <c r="V18" s="10">
        <v>0</v>
      </c>
      <c r="W18" s="10">
        <v>117.25</v>
      </c>
      <c r="X18" s="10">
        <v>300</v>
      </c>
      <c r="Z18" s="10">
        <v>0</v>
      </c>
      <c r="AA18" s="10">
        <v>640</v>
      </c>
      <c r="AB18" s="10">
        <v>0</v>
      </c>
      <c r="AC18" s="10">
        <v>100</v>
      </c>
      <c r="AD18" s="10">
        <v>0</v>
      </c>
      <c r="AG18" s="10">
        <v>0</v>
      </c>
      <c r="AI18" s="10">
        <v>0</v>
      </c>
      <c r="AJ18" s="10">
        <v>20</v>
      </c>
      <c r="AL18" s="10">
        <v>0</v>
      </c>
      <c r="AO18" s="10">
        <v>100</v>
      </c>
      <c r="AP18" s="10">
        <v>0</v>
      </c>
      <c r="AQ18" s="10">
        <v>400</v>
      </c>
      <c r="AR18" s="10">
        <v>0</v>
      </c>
      <c r="AS18" s="10">
        <v>0</v>
      </c>
      <c r="AU18" s="10">
        <v>0</v>
      </c>
      <c r="AW18" s="10">
        <v>1200</v>
      </c>
      <c r="AX18" s="10">
        <v>0</v>
      </c>
      <c r="BA18" s="10">
        <v>0</v>
      </c>
      <c r="BB18" s="10">
        <v>0</v>
      </c>
      <c r="BD18" s="10">
        <v>40</v>
      </c>
      <c r="BF18" s="10">
        <v>0</v>
      </c>
      <c r="BH18" s="10">
        <v>0</v>
      </c>
      <c r="BJ18" s="10">
        <v>50</v>
      </c>
      <c r="BK18" s="10">
        <v>0</v>
      </c>
      <c r="BL18" s="10">
        <v>0</v>
      </c>
      <c r="BM18" s="10">
        <v>0</v>
      </c>
      <c r="BO18" s="10">
        <v>100</v>
      </c>
      <c r="BP18" s="10">
        <v>0</v>
      </c>
      <c r="BQ18" s="10">
        <v>900</v>
      </c>
      <c r="BR18" s="10">
        <v>0</v>
      </c>
      <c r="BS18" s="10">
        <v>0</v>
      </c>
      <c r="BT18" s="10">
        <v>75</v>
      </c>
    </row>
    <row r="19" spans="1:72" s="14" customFormat="1" x14ac:dyDescent="0.15">
      <c r="A19" s="13" t="s">
        <v>605</v>
      </c>
      <c r="B19" s="14" t="s">
        <v>589</v>
      </c>
      <c r="D19" s="14">
        <v>160</v>
      </c>
      <c r="G19" s="14">
        <v>300</v>
      </c>
      <c r="J19" s="14">
        <v>900</v>
      </c>
      <c r="K19" s="14">
        <v>87.1</v>
      </c>
      <c r="L19" s="14">
        <v>300</v>
      </c>
      <c r="M19" s="14">
        <v>750</v>
      </c>
      <c r="O19" s="14">
        <v>640</v>
      </c>
      <c r="P19" s="14">
        <v>225</v>
      </c>
      <c r="Q19" s="14">
        <v>200</v>
      </c>
      <c r="R19" s="14">
        <v>300</v>
      </c>
      <c r="S19" s="14">
        <v>500</v>
      </c>
      <c r="T19" s="14">
        <v>600</v>
      </c>
      <c r="U19" s="14">
        <v>200</v>
      </c>
      <c r="V19" s="14">
        <v>100</v>
      </c>
      <c r="W19" s="14">
        <v>357.25</v>
      </c>
      <c r="X19" s="14">
        <v>700</v>
      </c>
      <c r="Z19" s="14">
        <v>500</v>
      </c>
      <c r="AA19" s="14">
        <v>940</v>
      </c>
      <c r="AB19" s="14">
        <v>100</v>
      </c>
      <c r="AC19" s="14">
        <v>200</v>
      </c>
      <c r="AD19" s="14">
        <v>240</v>
      </c>
      <c r="AG19" s="14">
        <v>600</v>
      </c>
      <c r="AI19" s="14">
        <v>75</v>
      </c>
      <c r="AJ19" s="14">
        <v>460</v>
      </c>
      <c r="AL19" s="14">
        <v>600</v>
      </c>
      <c r="AO19" s="14">
        <v>200</v>
      </c>
      <c r="AP19" s="14">
        <v>707</v>
      </c>
      <c r="AQ19" s="14">
        <v>480</v>
      </c>
      <c r="AR19" s="14">
        <v>75</v>
      </c>
      <c r="AS19" s="14">
        <v>300</v>
      </c>
      <c r="AU19" s="14">
        <v>200</v>
      </c>
      <c r="AW19" s="14">
        <v>1800</v>
      </c>
      <c r="AX19" s="14">
        <v>33.5</v>
      </c>
      <c r="BA19" s="14">
        <v>400</v>
      </c>
      <c r="BB19" s="14">
        <v>150</v>
      </c>
      <c r="BD19" s="14">
        <v>115</v>
      </c>
      <c r="BF19" s="14">
        <v>0</v>
      </c>
      <c r="BH19" s="14">
        <v>300</v>
      </c>
      <c r="BJ19" s="14">
        <v>50</v>
      </c>
      <c r="BK19" s="14">
        <v>320</v>
      </c>
      <c r="BL19" s="14">
        <v>300</v>
      </c>
      <c r="BM19" s="14">
        <v>150</v>
      </c>
      <c r="BO19" s="14">
        <v>175</v>
      </c>
      <c r="BP19" s="14">
        <v>675</v>
      </c>
      <c r="BQ19" s="14">
        <v>1000</v>
      </c>
      <c r="BR19" s="14">
        <v>600</v>
      </c>
      <c r="BS19" s="14">
        <v>600</v>
      </c>
      <c r="BT19" s="14">
        <v>515</v>
      </c>
    </row>
    <row r="21" spans="1:72" s="8" customFormat="1" x14ac:dyDescent="0.15">
      <c r="A21" s="7" t="s">
        <v>606</v>
      </c>
      <c r="B21" s="8" t="s">
        <v>539</v>
      </c>
      <c r="G21" s="8">
        <v>2019</v>
      </c>
      <c r="K21" s="8">
        <v>1023</v>
      </c>
      <c r="S21" s="8">
        <v>1022</v>
      </c>
      <c r="Z21" s="8">
        <v>1013</v>
      </c>
      <c r="AB21" s="8">
        <v>2019</v>
      </c>
      <c r="AC21" s="8">
        <v>2008</v>
      </c>
      <c r="AD21" s="8">
        <v>2019</v>
      </c>
      <c r="AJ21" s="8">
        <v>4004</v>
      </c>
      <c r="AO21" s="8">
        <v>1023</v>
      </c>
      <c r="AP21" s="8">
        <v>1022</v>
      </c>
      <c r="AQ21" s="8">
        <v>1023</v>
      </c>
      <c r="AS21" s="8">
        <v>2011</v>
      </c>
      <c r="AU21" s="8">
        <v>1003</v>
      </c>
      <c r="AX21" s="8">
        <v>1013</v>
      </c>
      <c r="BK21" s="8">
        <v>2017</v>
      </c>
      <c r="BL21" s="8">
        <v>1022</v>
      </c>
      <c r="BO21" s="8">
        <v>2017</v>
      </c>
      <c r="BP21" s="8">
        <v>4004</v>
      </c>
      <c r="BR21" s="8">
        <v>1003</v>
      </c>
      <c r="BT21" s="8">
        <v>4003</v>
      </c>
    </row>
    <row r="22" spans="1:72" s="10" customFormat="1" x14ac:dyDescent="0.15">
      <c r="A22" s="9" t="s">
        <v>607</v>
      </c>
      <c r="B22" s="10" t="s">
        <v>541</v>
      </c>
      <c r="V22" s="10" t="s">
        <v>608</v>
      </c>
      <c r="BF22" s="10" t="s">
        <v>609</v>
      </c>
    </row>
    <row r="23" spans="1:72" s="10" customFormat="1" x14ac:dyDescent="0.15">
      <c r="A23" s="9" t="s">
        <v>610</v>
      </c>
      <c r="B23" s="10" t="s">
        <v>544</v>
      </c>
      <c r="G23" s="10" t="s">
        <v>568</v>
      </c>
      <c r="K23" s="10" t="s">
        <v>560</v>
      </c>
      <c r="Q23" s="10" t="s">
        <v>553</v>
      </c>
      <c r="S23" s="10" t="s">
        <v>566</v>
      </c>
      <c r="V23" s="10" t="s">
        <v>573</v>
      </c>
      <c r="Z23" s="10" t="s">
        <v>557</v>
      </c>
      <c r="AB23" s="10" t="s">
        <v>572</v>
      </c>
      <c r="AC23" s="10" t="s">
        <v>556</v>
      </c>
      <c r="AD23" s="10" t="s">
        <v>572</v>
      </c>
      <c r="AJ23" s="10" t="s">
        <v>563</v>
      </c>
      <c r="AO23" s="10" t="s">
        <v>556</v>
      </c>
      <c r="AP23" s="10" t="s">
        <v>563</v>
      </c>
      <c r="AQ23" s="10" t="s">
        <v>571</v>
      </c>
      <c r="AS23" s="10" t="s">
        <v>558</v>
      </c>
      <c r="AU23" s="10" t="s">
        <v>557</v>
      </c>
      <c r="AX23" s="10" t="s">
        <v>549</v>
      </c>
      <c r="BF23" s="10" t="s">
        <v>567</v>
      </c>
      <c r="BK23" s="10" t="s">
        <v>572</v>
      </c>
      <c r="BL23" s="10" t="s">
        <v>611</v>
      </c>
      <c r="BO23" s="10" t="s">
        <v>568</v>
      </c>
      <c r="BP23" s="10" t="s">
        <v>557</v>
      </c>
      <c r="BR23" s="10" t="s">
        <v>557</v>
      </c>
      <c r="BT23" s="10" t="s">
        <v>547</v>
      </c>
    </row>
    <row r="24" spans="1:72" s="10" customFormat="1" x14ac:dyDescent="0.15">
      <c r="A24" s="9" t="s">
        <v>612</v>
      </c>
      <c r="B24" s="10" t="s">
        <v>579</v>
      </c>
      <c r="G24" s="10">
        <v>4</v>
      </c>
      <c r="K24" s="10">
        <v>4</v>
      </c>
      <c r="Q24" s="10">
        <v>2</v>
      </c>
      <c r="S24" s="10">
        <v>4</v>
      </c>
      <c r="V24" s="10">
        <v>4</v>
      </c>
      <c r="Z24" s="10">
        <v>4</v>
      </c>
      <c r="AB24" s="10">
        <v>4</v>
      </c>
      <c r="AC24" s="10">
        <v>4</v>
      </c>
      <c r="AD24" s="10">
        <v>4</v>
      </c>
      <c r="AJ24" s="10">
        <v>4</v>
      </c>
      <c r="AO24" s="10">
        <v>4</v>
      </c>
      <c r="AP24" s="10">
        <v>4</v>
      </c>
      <c r="AQ24" s="10">
        <v>4</v>
      </c>
      <c r="AS24" s="10">
        <v>4</v>
      </c>
      <c r="AU24" s="10">
        <v>4</v>
      </c>
      <c r="AX24" s="10">
        <v>4</v>
      </c>
      <c r="BF24" s="10">
        <v>4</v>
      </c>
      <c r="BK24" s="10">
        <v>4</v>
      </c>
      <c r="BL24" s="10">
        <v>1</v>
      </c>
      <c r="BO24" s="10">
        <v>4</v>
      </c>
      <c r="BP24" s="10">
        <v>4</v>
      </c>
      <c r="BR24" s="10">
        <v>4</v>
      </c>
      <c r="BT24" s="10">
        <v>4</v>
      </c>
    </row>
    <row r="25" spans="1:72" s="10" customFormat="1" x14ac:dyDescent="0.15">
      <c r="A25" s="9" t="s">
        <v>613</v>
      </c>
      <c r="B25" s="10" t="s">
        <v>581</v>
      </c>
      <c r="G25" s="11">
        <v>37987</v>
      </c>
      <c r="K25" s="11">
        <v>40514</v>
      </c>
      <c r="Q25" s="12">
        <v>39814</v>
      </c>
      <c r="S25" s="11">
        <v>40351</v>
      </c>
      <c r="V25" s="10">
        <v>2006</v>
      </c>
      <c r="Z25" s="11">
        <v>40219</v>
      </c>
      <c r="AB25" s="11">
        <v>40148</v>
      </c>
      <c r="AC25" s="11">
        <v>39891</v>
      </c>
      <c r="AD25" s="11">
        <v>38353</v>
      </c>
      <c r="AJ25" s="11">
        <v>40308</v>
      </c>
      <c r="AO25" s="11">
        <v>40233</v>
      </c>
      <c r="AP25" s="11">
        <v>40451</v>
      </c>
      <c r="AQ25" s="11">
        <v>39832</v>
      </c>
      <c r="AS25" s="11">
        <v>40330</v>
      </c>
      <c r="AU25" s="11">
        <v>38718</v>
      </c>
      <c r="AX25" s="11">
        <v>40360</v>
      </c>
      <c r="BF25" s="12">
        <v>40575</v>
      </c>
      <c r="BK25" s="11">
        <v>39948</v>
      </c>
      <c r="BL25" s="12">
        <v>40544</v>
      </c>
      <c r="BO25" s="11">
        <v>38412</v>
      </c>
      <c r="BP25" s="11">
        <v>40533</v>
      </c>
      <c r="BR25" s="11">
        <v>40065</v>
      </c>
      <c r="BT25" s="11">
        <v>39752</v>
      </c>
    </row>
    <row r="26" spans="1:72" s="10" customFormat="1" x14ac:dyDescent="0.15">
      <c r="A26" s="9" t="s">
        <v>614</v>
      </c>
      <c r="B26" s="10" t="s">
        <v>583</v>
      </c>
      <c r="G26" s="10">
        <v>0</v>
      </c>
      <c r="K26" s="10">
        <v>0</v>
      </c>
      <c r="Q26" s="10">
        <v>0</v>
      </c>
      <c r="S26" s="10">
        <v>0</v>
      </c>
      <c r="V26" s="10">
        <v>0</v>
      </c>
      <c r="Z26" s="10">
        <v>0</v>
      </c>
      <c r="AB26" s="10">
        <v>0</v>
      </c>
      <c r="AC26" s="10">
        <v>0</v>
      </c>
      <c r="AD26" s="10">
        <v>0</v>
      </c>
      <c r="AJ26" s="10">
        <v>13.32</v>
      </c>
      <c r="AO26" s="10">
        <v>0</v>
      </c>
      <c r="AP26" s="10">
        <v>0</v>
      </c>
      <c r="AQ26" s="10">
        <v>0</v>
      </c>
      <c r="AS26" s="10">
        <v>0</v>
      </c>
      <c r="AU26" s="10">
        <v>0</v>
      </c>
      <c r="AX26" s="10">
        <v>0</v>
      </c>
      <c r="BF26" s="10">
        <v>0</v>
      </c>
      <c r="BK26" s="10">
        <v>0</v>
      </c>
      <c r="BL26" s="10">
        <v>0</v>
      </c>
      <c r="BO26" s="10">
        <v>0</v>
      </c>
      <c r="BP26" s="10">
        <v>6.66</v>
      </c>
      <c r="BR26" s="10">
        <v>0</v>
      </c>
      <c r="BT26" s="10">
        <v>1.35</v>
      </c>
    </row>
    <row r="27" spans="1:72" s="10" customFormat="1" x14ac:dyDescent="0.15">
      <c r="A27" s="9" t="s">
        <v>615</v>
      </c>
      <c r="B27" s="10" t="s">
        <v>587</v>
      </c>
      <c r="G27" s="10">
        <v>9.99</v>
      </c>
      <c r="K27" s="10">
        <v>17.29</v>
      </c>
      <c r="Q27" s="10">
        <v>6.66</v>
      </c>
      <c r="S27" s="10">
        <v>16.850000000000001</v>
      </c>
      <c r="V27" s="10">
        <v>3.35</v>
      </c>
      <c r="Z27" s="10">
        <v>16.7</v>
      </c>
      <c r="AB27" s="10">
        <v>3.33</v>
      </c>
      <c r="AC27" s="10">
        <v>40</v>
      </c>
      <c r="AD27" s="10">
        <v>8.0399999999999991</v>
      </c>
      <c r="AJ27" s="10">
        <v>18.670000000000002</v>
      </c>
      <c r="AO27" s="10">
        <v>23.33</v>
      </c>
      <c r="AP27" s="10">
        <v>34.9</v>
      </c>
      <c r="AQ27" s="10">
        <v>16.02</v>
      </c>
      <c r="AS27" s="10">
        <v>10</v>
      </c>
      <c r="AU27" s="10">
        <v>6.66</v>
      </c>
      <c r="AX27" s="10">
        <v>6.65</v>
      </c>
      <c r="BF27" s="10">
        <v>0</v>
      </c>
      <c r="BK27" s="10">
        <v>10.72</v>
      </c>
      <c r="BL27" s="10">
        <v>9.99</v>
      </c>
      <c r="BO27" s="10">
        <v>18.329999999999998</v>
      </c>
      <c r="BP27" s="10">
        <v>22.56</v>
      </c>
      <c r="BR27" s="10">
        <v>20</v>
      </c>
      <c r="BT27" s="10">
        <v>17.170000000000002</v>
      </c>
    </row>
    <row r="28" spans="1:72" s="10" customFormat="1" x14ac:dyDescent="0.15">
      <c r="A28" s="9" t="s">
        <v>616</v>
      </c>
      <c r="B28" s="10" t="s">
        <v>585</v>
      </c>
      <c r="G28" s="10">
        <v>0</v>
      </c>
      <c r="K28" s="10">
        <v>0</v>
      </c>
      <c r="Q28" s="10">
        <v>0</v>
      </c>
      <c r="S28" s="10">
        <v>0</v>
      </c>
      <c r="V28" s="10">
        <v>0</v>
      </c>
      <c r="Z28" s="10">
        <v>0</v>
      </c>
      <c r="AB28" s="10">
        <v>0</v>
      </c>
      <c r="AC28" s="10">
        <v>0</v>
      </c>
      <c r="AD28" s="10">
        <v>0</v>
      </c>
      <c r="AJ28" s="10">
        <v>400</v>
      </c>
      <c r="AO28" s="10">
        <v>0</v>
      </c>
      <c r="AP28" s="10">
        <v>0</v>
      </c>
      <c r="AQ28" s="10">
        <v>0</v>
      </c>
      <c r="AS28" s="10">
        <v>0</v>
      </c>
      <c r="AU28" s="10">
        <v>0</v>
      </c>
      <c r="AX28" s="10">
        <v>0</v>
      </c>
      <c r="BF28" s="10">
        <v>0</v>
      </c>
      <c r="BK28" s="10">
        <v>0</v>
      </c>
      <c r="BL28" s="10">
        <v>0</v>
      </c>
      <c r="BO28" s="10">
        <v>0</v>
      </c>
      <c r="BP28" s="10">
        <v>200</v>
      </c>
      <c r="BR28" s="10">
        <v>0</v>
      </c>
      <c r="BT28" s="10">
        <v>40</v>
      </c>
    </row>
    <row r="29" spans="1:72" s="14" customFormat="1" x14ac:dyDescent="0.15">
      <c r="A29" s="13" t="s">
        <v>617</v>
      </c>
      <c r="B29" s="14" t="s">
        <v>589</v>
      </c>
      <c r="G29" s="14">
        <v>300</v>
      </c>
      <c r="K29" s="14">
        <v>87.1</v>
      </c>
      <c r="Q29" s="14">
        <v>200</v>
      </c>
      <c r="S29" s="14">
        <v>500</v>
      </c>
      <c r="V29" s="14">
        <v>100</v>
      </c>
      <c r="Z29" s="14">
        <v>500</v>
      </c>
      <c r="AB29" s="14">
        <v>100</v>
      </c>
      <c r="AC29" s="14">
        <v>200</v>
      </c>
      <c r="AD29" s="14">
        <v>240</v>
      </c>
      <c r="AJ29" s="14">
        <v>460</v>
      </c>
      <c r="AO29" s="14">
        <v>200</v>
      </c>
      <c r="AP29" s="14">
        <v>707</v>
      </c>
      <c r="AQ29" s="14">
        <v>480</v>
      </c>
      <c r="AS29" s="14">
        <v>300</v>
      </c>
      <c r="AU29" s="14">
        <v>200</v>
      </c>
      <c r="AX29" s="14">
        <v>33.5</v>
      </c>
      <c r="BF29" s="14">
        <v>0</v>
      </c>
      <c r="BK29" s="14">
        <v>320</v>
      </c>
      <c r="BL29" s="14">
        <v>300</v>
      </c>
      <c r="BO29" s="14">
        <v>175</v>
      </c>
      <c r="BP29" s="14">
        <v>675</v>
      </c>
      <c r="BR29" s="14">
        <v>600</v>
      </c>
      <c r="BT29" s="14">
        <v>515</v>
      </c>
    </row>
    <row r="31" spans="1:72" s="8" customFormat="1" x14ac:dyDescent="0.15">
      <c r="A31" s="7" t="s">
        <v>618</v>
      </c>
      <c r="B31" s="8" t="s">
        <v>539</v>
      </c>
      <c r="S31" s="8">
        <v>1013</v>
      </c>
      <c r="Z31" s="8">
        <v>1022</v>
      </c>
      <c r="AJ31" s="8">
        <v>1019</v>
      </c>
      <c r="AP31" s="8">
        <v>4012</v>
      </c>
      <c r="AS31" s="8">
        <v>2001</v>
      </c>
      <c r="AX31" s="8">
        <v>1022</v>
      </c>
      <c r="BP31" s="8">
        <v>4000</v>
      </c>
      <c r="BR31" s="8">
        <v>2002</v>
      </c>
    </row>
    <row r="32" spans="1:72" s="10" customFormat="1" x14ac:dyDescent="0.15">
      <c r="A32" s="9" t="s">
        <v>619</v>
      </c>
      <c r="B32" s="10" t="s">
        <v>541</v>
      </c>
      <c r="Q32" s="10" t="s">
        <v>620</v>
      </c>
      <c r="V32" s="10" t="s">
        <v>621</v>
      </c>
      <c r="BF32" s="10" t="s">
        <v>622</v>
      </c>
    </row>
    <row r="33" spans="1:70" s="10" customFormat="1" x14ac:dyDescent="0.15">
      <c r="A33" s="9" t="s">
        <v>623</v>
      </c>
      <c r="B33" s="10" t="s">
        <v>544</v>
      </c>
      <c r="Q33" s="10" t="s">
        <v>566</v>
      </c>
      <c r="S33" s="10" t="s">
        <v>566</v>
      </c>
      <c r="V33" s="10" t="s">
        <v>559</v>
      </c>
      <c r="Z33" s="10" t="s">
        <v>557</v>
      </c>
      <c r="AJ33" s="10" t="s">
        <v>547</v>
      </c>
      <c r="AP33" s="10" t="s">
        <v>572</v>
      </c>
      <c r="AS33" s="10" t="s">
        <v>572</v>
      </c>
      <c r="AX33" s="10" t="s">
        <v>563</v>
      </c>
      <c r="BF33" s="10" t="s">
        <v>548</v>
      </c>
      <c r="BP33" s="10" t="s">
        <v>548</v>
      </c>
      <c r="BR33" s="10" t="s">
        <v>548</v>
      </c>
    </row>
    <row r="34" spans="1:70" s="10" customFormat="1" x14ac:dyDescent="0.15">
      <c r="A34" s="9" t="s">
        <v>624</v>
      </c>
      <c r="B34" s="10" t="s">
        <v>579</v>
      </c>
      <c r="Q34" s="10">
        <v>2</v>
      </c>
      <c r="S34" s="10">
        <v>4</v>
      </c>
      <c r="V34" s="10">
        <v>4</v>
      </c>
      <c r="Z34" s="10">
        <v>4</v>
      </c>
      <c r="AJ34" s="10">
        <v>4</v>
      </c>
      <c r="AP34" s="10">
        <v>8</v>
      </c>
      <c r="AS34" s="10">
        <v>4</v>
      </c>
      <c r="AX34" s="10">
        <v>4</v>
      </c>
      <c r="BF34" s="10">
        <v>4</v>
      </c>
      <c r="BP34" s="10">
        <v>4</v>
      </c>
      <c r="BR34" s="10">
        <v>4</v>
      </c>
    </row>
    <row r="35" spans="1:70" s="10" customFormat="1" x14ac:dyDescent="0.15">
      <c r="A35" s="9" t="s">
        <v>625</v>
      </c>
      <c r="B35" s="10" t="s">
        <v>581</v>
      </c>
      <c r="Q35" s="12">
        <v>39814</v>
      </c>
      <c r="S35" s="11">
        <v>40351</v>
      </c>
      <c r="V35" s="10">
        <v>2006</v>
      </c>
      <c r="Z35" s="11">
        <v>40219</v>
      </c>
      <c r="AJ35" s="11">
        <v>40310</v>
      </c>
      <c r="AP35" s="11">
        <v>40472</v>
      </c>
      <c r="AS35" s="11">
        <v>40322</v>
      </c>
      <c r="AX35" s="11">
        <v>40422</v>
      </c>
      <c r="BF35" s="12">
        <v>39814</v>
      </c>
      <c r="BP35" s="11">
        <v>40533</v>
      </c>
      <c r="BR35" s="11">
        <v>40207</v>
      </c>
    </row>
    <row r="36" spans="1:70" s="10" customFormat="1" x14ac:dyDescent="0.15">
      <c r="A36" s="9" t="s">
        <v>626</v>
      </c>
      <c r="B36" s="10" t="s">
        <v>583</v>
      </c>
      <c r="Q36" s="10">
        <v>0</v>
      </c>
      <c r="S36" s="10">
        <v>0</v>
      </c>
      <c r="V36" s="10">
        <v>0</v>
      </c>
      <c r="Z36" s="10">
        <v>0</v>
      </c>
      <c r="AJ36" s="10">
        <v>0</v>
      </c>
      <c r="AP36" s="10">
        <v>13.3</v>
      </c>
      <c r="AS36" s="10">
        <v>0</v>
      </c>
      <c r="AX36" s="10">
        <v>0</v>
      </c>
      <c r="BF36" s="10">
        <v>0</v>
      </c>
      <c r="BP36" s="10">
        <v>13.4</v>
      </c>
      <c r="BR36" s="10">
        <v>0</v>
      </c>
    </row>
    <row r="37" spans="1:70" s="10" customFormat="1" x14ac:dyDescent="0.15">
      <c r="A37" s="9" t="s">
        <v>627</v>
      </c>
      <c r="B37" s="10" t="s">
        <v>587</v>
      </c>
      <c r="Q37" s="10">
        <v>6.66</v>
      </c>
      <c r="S37" s="10">
        <v>16.850000000000001</v>
      </c>
      <c r="V37" s="10">
        <v>3.35</v>
      </c>
      <c r="Z37" s="10">
        <v>16.7</v>
      </c>
      <c r="AJ37" s="10">
        <v>18.670000000000002</v>
      </c>
      <c r="AP37" s="10">
        <v>34.9</v>
      </c>
      <c r="AS37" s="10">
        <v>10</v>
      </c>
      <c r="AX37" s="10">
        <v>6.65</v>
      </c>
      <c r="BF37" s="10">
        <v>0</v>
      </c>
      <c r="BP37" s="10">
        <v>22.56</v>
      </c>
      <c r="BR37" s="10">
        <v>20</v>
      </c>
    </row>
    <row r="38" spans="1:70" s="10" customFormat="1" x14ac:dyDescent="0.15">
      <c r="A38" s="9" t="s">
        <v>628</v>
      </c>
      <c r="B38" s="10" t="s">
        <v>585</v>
      </c>
      <c r="Q38" s="10">
        <v>0</v>
      </c>
      <c r="S38" s="10">
        <v>0</v>
      </c>
      <c r="V38" s="10">
        <v>0</v>
      </c>
      <c r="Z38" s="10">
        <v>0</v>
      </c>
      <c r="AJ38" s="10">
        <v>0</v>
      </c>
      <c r="AP38" s="10">
        <v>67</v>
      </c>
      <c r="AS38" s="10">
        <v>0</v>
      </c>
      <c r="AX38" s="10">
        <v>0</v>
      </c>
      <c r="BF38" s="10">
        <v>0</v>
      </c>
      <c r="BP38" s="10">
        <v>400</v>
      </c>
      <c r="BR38" s="10">
        <v>0</v>
      </c>
    </row>
    <row r="39" spans="1:70" s="14" customFormat="1" x14ac:dyDescent="0.15">
      <c r="A39" s="13" t="s">
        <v>629</v>
      </c>
      <c r="B39" s="14" t="s">
        <v>589</v>
      </c>
      <c r="Q39" s="14">
        <v>200</v>
      </c>
      <c r="S39" s="14">
        <v>500</v>
      </c>
      <c r="V39" s="14">
        <v>100</v>
      </c>
      <c r="Z39" s="14">
        <v>500</v>
      </c>
      <c r="AJ39" s="14">
        <v>460</v>
      </c>
      <c r="AP39" s="14">
        <v>707</v>
      </c>
      <c r="AS39" s="14">
        <v>300</v>
      </c>
      <c r="AX39" s="14">
        <v>33.5</v>
      </c>
      <c r="BF39" s="14">
        <v>0</v>
      </c>
      <c r="BP39" s="14">
        <v>675</v>
      </c>
      <c r="BR39" s="14">
        <v>600</v>
      </c>
    </row>
    <row r="41" spans="1:70" s="8" customFormat="1" x14ac:dyDescent="0.15">
      <c r="A41" s="7" t="s">
        <v>630</v>
      </c>
      <c r="B41" s="8" t="s">
        <v>539</v>
      </c>
      <c r="AJ41" s="8">
        <v>2019</v>
      </c>
    </row>
    <row r="42" spans="1:70" s="10" customFormat="1" x14ac:dyDescent="0.15">
      <c r="A42" s="9" t="s">
        <v>631</v>
      </c>
      <c r="B42" s="10" t="s">
        <v>541</v>
      </c>
      <c r="V42" s="10" t="s">
        <v>632</v>
      </c>
    </row>
    <row r="43" spans="1:70" s="10" customFormat="1" x14ac:dyDescent="0.15">
      <c r="A43" s="9" t="s">
        <v>633</v>
      </c>
      <c r="B43" s="10" t="s">
        <v>544</v>
      </c>
      <c r="V43" s="10" t="s">
        <v>634</v>
      </c>
      <c r="AJ43" s="10" t="s">
        <v>572</v>
      </c>
    </row>
    <row r="44" spans="1:70" s="10" customFormat="1" x14ac:dyDescent="0.15">
      <c r="A44" s="9" t="s">
        <v>635</v>
      </c>
      <c r="B44" s="10" t="s">
        <v>579</v>
      </c>
      <c r="V44" s="10">
        <v>4</v>
      </c>
      <c r="AJ44" s="10">
        <v>4</v>
      </c>
    </row>
    <row r="45" spans="1:70" s="10" customFormat="1" x14ac:dyDescent="0.15">
      <c r="A45" s="9" t="s">
        <v>636</v>
      </c>
      <c r="B45" s="10" t="s">
        <v>581</v>
      </c>
      <c r="V45" s="10">
        <v>2006</v>
      </c>
      <c r="AJ45" s="11">
        <v>40270</v>
      </c>
    </row>
    <row r="46" spans="1:70" s="10" customFormat="1" x14ac:dyDescent="0.15">
      <c r="A46" s="9" t="s">
        <v>637</v>
      </c>
      <c r="B46" s="10" t="s">
        <v>583</v>
      </c>
      <c r="V46" s="10">
        <v>0</v>
      </c>
      <c r="AJ46" s="10">
        <v>0</v>
      </c>
    </row>
    <row r="47" spans="1:70" s="10" customFormat="1" x14ac:dyDescent="0.15">
      <c r="A47" s="9" t="s">
        <v>638</v>
      </c>
      <c r="B47" s="10" t="s">
        <v>587</v>
      </c>
      <c r="V47" s="10">
        <v>3.35</v>
      </c>
      <c r="AJ47" s="10">
        <v>18.670000000000002</v>
      </c>
    </row>
    <row r="48" spans="1:70" s="10" customFormat="1" x14ac:dyDescent="0.15">
      <c r="A48" s="9" t="s">
        <v>639</v>
      </c>
      <c r="B48" s="10" t="s">
        <v>585</v>
      </c>
      <c r="V48" s="10">
        <v>0</v>
      </c>
      <c r="AJ48" s="10">
        <v>0</v>
      </c>
    </row>
    <row r="49" spans="1:36" s="14" customFormat="1" x14ac:dyDescent="0.15">
      <c r="A49" s="13" t="s">
        <v>640</v>
      </c>
      <c r="B49" s="14" t="s">
        <v>589</v>
      </c>
      <c r="V49" s="14">
        <v>100</v>
      </c>
      <c r="AJ49" s="14">
        <v>460</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3"/>
  <sheetViews>
    <sheetView zoomScale="90" zoomScaleNormal="90" workbookViewId="0">
      <selection activeCell="M46" sqref="M46"/>
    </sheetView>
  </sheetViews>
  <sheetFormatPr baseColWidth="10" defaultColWidth="11.5" defaultRowHeight="13" x14ac:dyDescent="0.15"/>
  <cols>
    <col min="1" max="1" width="5.83203125" customWidth="1"/>
    <col min="2" max="2" width="26.33203125" customWidth="1"/>
  </cols>
  <sheetData>
    <row r="1" spans="1:2" x14ac:dyDescent="0.15">
      <c r="A1" t="s">
        <v>641</v>
      </c>
      <c r="B1" t="s">
        <v>642</v>
      </c>
    </row>
    <row r="2" spans="1:2" x14ac:dyDescent="0.15">
      <c r="A2">
        <v>1000</v>
      </c>
      <c r="B2" t="s">
        <v>643</v>
      </c>
    </row>
    <row r="3" spans="1:2" x14ac:dyDescent="0.15">
      <c r="A3">
        <v>1000</v>
      </c>
      <c r="B3" t="s">
        <v>644</v>
      </c>
    </row>
    <row r="4" spans="1:2" x14ac:dyDescent="0.15">
      <c r="A4">
        <v>1000</v>
      </c>
      <c r="B4" t="s">
        <v>645</v>
      </c>
    </row>
    <row r="5" spans="1:2" x14ac:dyDescent="0.15">
      <c r="A5">
        <v>1001</v>
      </c>
      <c r="B5" t="s">
        <v>646</v>
      </c>
    </row>
    <row r="6" spans="1:2" x14ac:dyDescent="0.15">
      <c r="A6">
        <v>1001</v>
      </c>
      <c r="B6" t="s">
        <v>647</v>
      </c>
    </row>
    <row r="7" spans="1:2" x14ac:dyDescent="0.15">
      <c r="A7">
        <v>1002</v>
      </c>
      <c r="B7" t="s">
        <v>648</v>
      </c>
    </row>
    <row r="8" spans="1:2" x14ac:dyDescent="0.15">
      <c r="A8">
        <v>1002</v>
      </c>
      <c r="B8" t="s">
        <v>649</v>
      </c>
    </row>
    <row r="9" spans="1:2" x14ac:dyDescent="0.15">
      <c r="A9">
        <v>1003</v>
      </c>
      <c r="B9" t="s">
        <v>650</v>
      </c>
    </row>
    <row r="10" spans="1:2" x14ac:dyDescent="0.15">
      <c r="A10">
        <v>1003</v>
      </c>
      <c r="B10" t="s">
        <v>651</v>
      </c>
    </row>
    <row r="11" spans="1:2" x14ac:dyDescent="0.15">
      <c r="A11">
        <v>1004</v>
      </c>
      <c r="B11" t="s">
        <v>652</v>
      </c>
    </row>
    <row r="12" spans="1:2" x14ac:dyDescent="0.15">
      <c r="A12">
        <v>1004</v>
      </c>
      <c r="B12" t="s">
        <v>653</v>
      </c>
    </row>
    <row r="13" spans="1:2" x14ac:dyDescent="0.15">
      <c r="A13">
        <v>1005</v>
      </c>
      <c r="B13" t="s">
        <v>654</v>
      </c>
    </row>
    <row r="14" spans="1:2" x14ac:dyDescent="0.15">
      <c r="A14">
        <v>1005</v>
      </c>
      <c r="B14" t="s">
        <v>655</v>
      </c>
    </row>
    <row r="15" spans="1:2" x14ac:dyDescent="0.15">
      <c r="A15">
        <v>1005</v>
      </c>
      <c r="B15" t="s">
        <v>656</v>
      </c>
    </row>
    <row r="16" spans="1:2" x14ac:dyDescent="0.15">
      <c r="A16">
        <v>1006</v>
      </c>
      <c r="B16" t="s">
        <v>657</v>
      </c>
    </row>
    <row r="17" spans="1:2" x14ac:dyDescent="0.15">
      <c r="A17">
        <v>1006</v>
      </c>
      <c r="B17" t="s">
        <v>658</v>
      </c>
    </row>
    <row r="18" spans="1:2" x14ac:dyDescent="0.15">
      <c r="A18">
        <v>1006</v>
      </c>
      <c r="B18" t="s">
        <v>659</v>
      </c>
    </row>
    <row r="19" spans="1:2" x14ac:dyDescent="0.15">
      <c r="A19">
        <v>1007</v>
      </c>
      <c r="B19" t="s">
        <v>660</v>
      </c>
    </row>
    <row r="20" spans="1:2" x14ac:dyDescent="0.15">
      <c r="A20">
        <v>1007</v>
      </c>
      <c r="B20" t="s">
        <v>661</v>
      </c>
    </row>
    <row r="21" spans="1:2" x14ac:dyDescent="0.15">
      <c r="A21">
        <v>1008</v>
      </c>
      <c r="B21" t="s">
        <v>662</v>
      </c>
    </row>
    <row r="22" spans="1:2" x14ac:dyDescent="0.15">
      <c r="A22">
        <v>1008</v>
      </c>
      <c r="B22" t="s">
        <v>663</v>
      </c>
    </row>
    <row r="23" spans="1:2" x14ac:dyDescent="0.15">
      <c r="A23">
        <v>1009</v>
      </c>
      <c r="B23" t="s">
        <v>664</v>
      </c>
    </row>
    <row r="24" spans="1:2" x14ac:dyDescent="0.15">
      <c r="A24">
        <v>1009</v>
      </c>
      <c r="B24" t="s">
        <v>665</v>
      </c>
    </row>
    <row r="25" spans="1:2" x14ac:dyDescent="0.15">
      <c r="A25">
        <v>1010</v>
      </c>
      <c r="B25" t="s">
        <v>666</v>
      </c>
    </row>
    <row r="26" spans="1:2" x14ac:dyDescent="0.15">
      <c r="A26">
        <v>1010</v>
      </c>
      <c r="B26" t="s">
        <v>667</v>
      </c>
    </row>
    <row r="27" spans="1:2" x14ac:dyDescent="0.15">
      <c r="A27">
        <v>1011</v>
      </c>
      <c r="B27" t="s">
        <v>668</v>
      </c>
    </row>
    <row r="28" spans="1:2" x14ac:dyDescent="0.15">
      <c r="A28">
        <v>1011</v>
      </c>
      <c r="B28" t="s">
        <v>669</v>
      </c>
    </row>
    <row r="29" spans="1:2" x14ac:dyDescent="0.15">
      <c r="A29">
        <v>1012</v>
      </c>
      <c r="B29" t="s">
        <v>669</v>
      </c>
    </row>
    <row r="30" spans="1:2" x14ac:dyDescent="0.15">
      <c r="A30">
        <v>1012</v>
      </c>
      <c r="B30" t="s">
        <v>670</v>
      </c>
    </row>
    <row r="31" spans="1:2" x14ac:dyDescent="0.15">
      <c r="A31">
        <v>1013</v>
      </c>
      <c r="B31" t="s">
        <v>671</v>
      </c>
    </row>
    <row r="32" spans="1:2" x14ac:dyDescent="0.15">
      <c r="A32">
        <v>1013</v>
      </c>
      <c r="B32" t="s">
        <v>672</v>
      </c>
    </row>
    <row r="33" spans="1:2" x14ac:dyDescent="0.15">
      <c r="A33">
        <v>1014</v>
      </c>
      <c r="B33" t="s">
        <v>673</v>
      </c>
    </row>
    <row r="34" spans="1:2" x14ac:dyDescent="0.15">
      <c r="A34">
        <v>1014</v>
      </c>
      <c r="B34" t="s">
        <v>674</v>
      </c>
    </row>
    <row r="35" spans="1:2" x14ac:dyDescent="0.15">
      <c r="A35">
        <v>1015</v>
      </c>
      <c r="B35" t="s">
        <v>675</v>
      </c>
    </row>
    <row r="36" spans="1:2" x14ac:dyDescent="0.15">
      <c r="A36">
        <v>1015</v>
      </c>
      <c r="B36" t="s">
        <v>676</v>
      </c>
    </row>
    <row r="37" spans="1:2" x14ac:dyDescent="0.15">
      <c r="A37">
        <v>1016</v>
      </c>
      <c r="B37" t="s">
        <v>677</v>
      </c>
    </row>
    <row r="38" spans="1:2" x14ac:dyDescent="0.15">
      <c r="A38">
        <v>1016</v>
      </c>
      <c r="B38" t="s">
        <v>678</v>
      </c>
    </row>
    <row r="39" spans="1:2" x14ac:dyDescent="0.15">
      <c r="A39">
        <v>1017</v>
      </c>
      <c r="B39" t="s">
        <v>679</v>
      </c>
    </row>
    <row r="40" spans="1:2" x14ac:dyDescent="0.15">
      <c r="A40">
        <v>1017</v>
      </c>
      <c r="B40" t="s">
        <v>680</v>
      </c>
    </row>
    <row r="41" spans="1:2" x14ac:dyDescent="0.15">
      <c r="A41">
        <v>1018</v>
      </c>
      <c r="B41" t="s">
        <v>681</v>
      </c>
    </row>
    <row r="42" spans="1:2" x14ac:dyDescent="0.15">
      <c r="A42">
        <v>1018</v>
      </c>
      <c r="B42" t="s">
        <v>682</v>
      </c>
    </row>
    <row r="43" spans="1:2" x14ac:dyDescent="0.15">
      <c r="A43">
        <v>1019</v>
      </c>
      <c r="B43" t="s">
        <v>683</v>
      </c>
    </row>
    <row r="44" spans="1:2" x14ac:dyDescent="0.15">
      <c r="A44">
        <v>1019</v>
      </c>
      <c r="B44" t="s">
        <v>684</v>
      </c>
    </row>
    <row r="45" spans="1:2" x14ac:dyDescent="0.15">
      <c r="A45">
        <v>1020</v>
      </c>
      <c r="B45" t="s">
        <v>685</v>
      </c>
    </row>
    <row r="46" spans="1:2" x14ac:dyDescent="0.15">
      <c r="A46">
        <v>1020</v>
      </c>
      <c r="B46" t="s">
        <v>686</v>
      </c>
    </row>
    <row r="47" spans="1:2" x14ac:dyDescent="0.15">
      <c r="A47">
        <v>1021</v>
      </c>
      <c r="B47" t="s">
        <v>687</v>
      </c>
    </row>
    <row r="48" spans="1:2" x14ac:dyDescent="0.15">
      <c r="A48">
        <v>1021</v>
      </c>
      <c r="B48" t="s">
        <v>688</v>
      </c>
    </row>
    <row r="49" spans="1:2" x14ac:dyDescent="0.15">
      <c r="A49">
        <v>1022</v>
      </c>
      <c r="B49" t="s">
        <v>689</v>
      </c>
    </row>
    <row r="50" spans="1:2" x14ac:dyDescent="0.15">
      <c r="A50">
        <v>1022</v>
      </c>
      <c r="B50" t="s">
        <v>690</v>
      </c>
    </row>
    <row r="51" spans="1:2" x14ac:dyDescent="0.15">
      <c r="A51">
        <v>1023</v>
      </c>
      <c r="B51" t="s">
        <v>691</v>
      </c>
    </row>
    <row r="52" spans="1:2" x14ac:dyDescent="0.15">
      <c r="A52">
        <v>1023</v>
      </c>
      <c r="B52" t="s">
        <v>692</v>
      </c>
    </row>
    <row r="53" spans="1:2" x14ac:dyDescent="0.15">
      <c r="A53">
        <v>1024</v>
      </c>
      <c r="B53" t="s">
        <v>693</v>
      </c>
    </row>
    <row r="54" spans="1:2" x14ac:dyDescent="0.15">
      <c r="A54">
        <v>1024</v>
      </c>
      <c r="B54" t="s">
        <v>694</v>
      </c>
    </row>
    <row r="55" spans="1:2" x14ac:dyDescent="0.15">
      <c r="A55">
        <v>2000</v>
      </c>
      <c r="B55" t="s">
        <v>695</v>
      </c>
    </row>
    <row r="56" spans="1:2" x14ac:dyDescent="0.15">
      <c r="A56">
        <v>2000</v>
      </c>
      <c r="B56" t="s">
        <v>696</v>
      </c>
    </row>
    <row r="57" spans="1:2" x14ac:dyDescent="0.15">
      <c r="A57">
        <v>2000</v>
      </c>
      <c r="B57" t="s">
        <v>697</v>
      </c>
    </row>
    <row r="58" spans="1:2" x14ac:dyDescent="0.15">
      <c r="A58">
        <v>2001</v>
      </c>
      <c r="B58" t="s">
        <v>698</v>
      </c>
    </row>
    <row r="59" spans="1:2" x14ac:dyDescent="0.15">
      <c r="A59">
        <v>2001</v>
      </c>
      <c r="B59" t="s">
        <v>699</v>
      </c>
    </row>
    <row r="60" spans="1:2" x14ac:dyDescent="0.15">
      <c r="A60">
        <v>2002</v>
      </c>
      <c r="B60" t="s">
        <v>700</v>
      </c>
    </row>
    <row r="61" spans="1:2" x14ac:dyDescent="0.15">
      <c r="A61">
        <v>2002</v>
      </c>
      <c r="B61" t="s">
        <v>701</v>
      </c>
    </row>
    <row r="62" spans="1:2" x14ac:dyDescent="0.15">
      <c r="A62">
        <v>2003</v>
      </c>
      <c r="B62" t="s">
        <v>702</v>
      </c>
    </row>
    <row r="63" spans="1:2" x14ac:dyDescent="0.15">
      <c r="A63">
        <v>2003</v>
      </c>
      <c r="B63" t="s">
        <v>703</v>
      </c>
    </row>
    <row r="64" spans="1:2" x14ac:dyDescent="0.15">
      <c r="A64">
        <v>2004</v>
      </c>
      <c r="B64" t="s">
        <v>704</v>
      </c>
    </row>
    <row r="65" spans="1:2" x14ac:dyDescent="0.15">
      <c r="A65">
        <v>2004</v>
      </c>
      <c r="B65" t="s">
        <v>705</v>
      </c>
    </row>
    <row r="66" spans="1:2" x14ac:dyDescent="0.15">
      <c r="A66">
        <v>2005</v>
      </c>
      <c r="B66" t="s">
        <v>706</v>
      </c>
    </row>
    <row r="67" spans="1:2" x14ac:dyDescent="0.15">
      <c r="A67">
        <v>2005</v>
      </c>
      <c r="B67" t="s">
        <v>707</v>
      </c>
    </row>
    <row r="68" spans="1:2" x14ac:dyDescent="0.15">
      <c r="A68">
        <v>2006</v>
      </c>
      <c r="B68" t="s">
        <v>708</v>
      </c>
    </row>
    <row r="69" spans="1:2" x14ac:dyDescent="0.15">
      <c r="A69">
        <v>2006</v>
      </c>
      <c r="B69" t="s">
        <v>709</v>
      </c>
    </row>
    <row r="70" spans="1:2" x14ac:dyDescent="0.15">
      <c r="A70">
        <v>2007</v>
      </c>
      <c r="B70" t="s">
        <v>710</v>
      </c>
    </row>
    <row r="71" spans="1:2" x14ac:dyDescent="0.15">
      <c r="A71">
        <v>2007</v>
      </c>
      <c r="B71" t="s">
        <v>711</v>
      </c>
    </row>
    <row r="72" spans="1:2" x14ac:dyDescent="0.15">
      <c r="A72">
        <v>2008</v>
      </c>
      <c r="B72" t="s">
        <v>712</v>
      </c>
    </row>
    <row r="73" spans="1:2" x14ac:dyDescent="0.15">
      <c r="A73">
        <v>2008</v>
      </c>
      <c r="B73" t="s">
        <v>713</v>
      </c>
    </row>
    <row r="74" spans="1:2" x14ac:dyDescent="0.15">
      <c r="A74">
        <v>2009</v>
      </c>
      <c r="B74" t="s">
        <v>714</v>
      </c>
    </row>
    <row r="75" spans="1:2" x14ac:dyDescent="0.15">
      <c r="A75">
        <v>2009</v>
      </c>
      <c r="B75" t="s">
        <v>715</v>
      </c>
    </row>
    <row r="76" spans="1:2" x14ac:dyDescent="0.15">
      <c r="A76">
        <v>2010</v>
      </c>
      <c r="B76" t="s">
        <v>716</v>
      </c>
    </row>
    <row r="77" spans="1:2" x14ac:dyDescent="0.15">
      <c r="A77">
        <v>2010</v>
      </c>
      <c r="B77" t="s">
        <v>717</v>
      </c>
    </row>
    <row r="78" spans="1:2" x14ac:dyDescent="0.15">
      <c r="A78">
        <v>2010</v>
      </c>
      <c r="B78" t="s">
        <v>718</v>
      </c>
    </row>
    <row r="79" spans="1:2" x14ac:dyDescent="0.15">
      <c r="A79">
        <v>2011</v>
      </c>
      <c r="B79" t="s">
        <v>719</v>
      </c>
    </row>
    <row r="80" spans="1:2" x14ac:dyDescent="0.15">
      <c r="A80">
        <v>2011</v>
      </c>
      <c r="B80" t="s">
        <v>720</v>
      </c>
    </row>
    <row r="81" spans="1:2" x14ac:dyDescent="0.15">
      <c r="A81">
        <v>2012</v>
      </c>
      <c r="B81" t="s">
        <v>721</v>
      </c>
    </row>
    <row r="82" spans="1:2" x14ac:dyDescent="0.15">
      <c r="A82">
        <v>2012</v>
      </c>
      <c r="B82" t="s">
        <v>722</v>
      </c>
    </row>
    <row r="83" spans="1:2" x14ac:dyDescent="0.15">
      <c r="A83">
        <v>2013</v>
      </c>
      <c r="B83" t="s">
        <v>723</v>
      </c>
    </row>
    <row r="84" spans="1:2" x14ac:dyDescent="0.15">
      <c r="A84">
        <v>2013</v>
      </c>
      <c r="B84" t="s">
        <v>724</v>
      </c>
    </row>
    <row r="85" spans="1:2" x14ac:dyDescent="0.15">
      <c r="A85">
        <v>2013</v>
      </c>
      <c r="B85" t="s">
        <v>725</v>
      </c>
    </row>
    <row r="86" spans="1:2" x14ac:dyDescent="0.15">
      <c r="A86">
        <v>2014</v>
      </c>
      <c r="B86" t="s">
        <v>726</v>
      </c>
    </row>
    <row r="87" spans="1:2" x14ac:dyDescent="0.15">
      <c r="A87">
        <v>2014</v>
      </c>
      <c r="B87" t="s">
        <v>727</v>
      </c>
    </row>
    <row r="88" spans="1:2" x14ac:dyDescent="0.15">
      <c r="A88">
        <v>2015</v>
      </c>
      <c r="B88" t="s">
        <v>728</v>
      </c>
    </row>
    <row r="89" spans="1:2" x14ac:dyDescent="0.15">
      <c r="A89">
        <v>2015</v>
      </c>
      <c r="B89" t="s">
        <v>729</v>
      </c>
    </row>
    <row r="90" spans="1:2" x14ac:dyDescent="0.15">
      <c r="A90">
        <v>2016</v>
      </c>
      <c r="B90" t="s">
        <v>730</v>
      </c>
    </row>
    <row r="91" spans="1:2" x14ac:dyDescent="0.15">
      <c r="A91">
        <v>2016</v>
      </c>
      <c r="B91" t="s">
        <v>731</v>
      </c>
    </row>
    <row r="92" spans="1:2" x14ac:dyDescent="0.15">
      <c r="A92">
        <v>2017</v>
      </c>
      <c r="B92" t="s">
        <v>732</v>
      </c>
    </row>
    <row r="93" spans="1:2" x14ac:dyDescent="0.15">
      <c r="A93">
        <v>2017</v>
      </c>
      <c r="B93" t="s">
        <v>733</v>
      </c>
    </row>
    <row r="94" spans="1:2" x14ac:dyDescent="0.15">
      <c r="A94">
        <v>2018</v>
      </c>
      <c r="B94" t="s">
        <v>734</v>
      </c>
    </row>
    <row r="95" spans="1:2" x14ac:dyDescent="0.15">
      <c r="A95">
        <v>2018</v>
      </c>
      <c r="B95" t="s">
        <v>735</v>
      </c>
    </row>
    <row r="96" spans="1:2" x14ac:dyDescent="0.15">
      <c r="A96">
        <v>2019</v>
      </c>
      <c r="B96" t="s">
        <v>736</v>
      </c>
    </row>
    <row r="97" spans="1:2" x14ac:dyDescent="0.15">
      <c r="A97">
        <v>2019</v>
      </c>
      <c r="B97" t="s">
        <v>737</v>
      </c>
    </row>
    <row r="98" spans="1:2" x14ac:dyDescent="0.15">
      <c r="A98">
        <v>2020</v>
      </c>
      <c r="B98" t="s">
        <v>738</v>
      </c>
    </row>
    <row r="99" spans="1:2" x14ac:dyDescent="0.15">
      <c r="A99">
        <v>2020</v>
      </c>
      <c r="B99" t="s">
        <v>739</v>
      </c>
    </row>
    <row r="100" spans="1:2" x14ac:dyDescent="0.15">
      <c r="A100">
        <v>2021</v>
      </c>
      <c r="B100" t="s">
        <v>740</v>
      </c>
    </row>
    <row r="101" spans="1:2" x14ac:dyDescent="0.15">
      <c r="A101">
        <v>2021</v>
      </c>
      <c r="B101" t="s">
        <v>741</v>
      </c>
    </row>
    <row r="102" spans="1:2" x14ac:dyDescent="0.15">
      <c r="A102">
        <v>3000</v>
      </c>
      <c r="B102" t="s">
        <v>742</v>
      </c>
    </row>
    <row r="103" spans="1:2" x14ac:dyDescent="0.15">
      <c r="A103">
        <v>3000</v>
      </c>
      <c r="B103" t="s">
        <v>743</v>
      </c>
    </row>
    <row r="104" spans="1:2" x14ac:dyDescent="0.15">
      <c r="A104">
        <v>3001</v>
      </c>
      <c r="B104" t="s">
        <v>744</v>
      </c>
    </row>
    <row r="105" spans="1:2" x14ac:dyDescent="0.15">
      <c r="A105">
        <v>3001</v>
      </c>
      <c r="B105" t="s">
        <v>745</v>
      </c>
    </row>
    <row r="106" spans="1:2" x14ac:dyDescent="0.15">
      <c r="A106">
        <v>3001</v>
      </c>
      <c r="B106" t="s">
        <v>746</v>
      </c>
    </row>
    <row r="107" spans="1:2" x14ac:dyDescent="0.15">
      <c r="A107">
        <v>3001</v>
      </c>
      <c r="B107" t="s">
        <v>747</v>
      </c>
    </row>
    <row r="108" spans="1:2" x14ac:dyDescent="0.15">
      <c r="A108">
        <v>3002</v>
      </c>
      <c r="B108" t="s">
        <v>748</v>
      </c>
    </row>
    <row r="109" spans="1:2" x14ac:dyDescent="0.15">
      <c r="A109">
        <v>3002</v>
      </c>
      <c r="B109" t="s">
        <v>749</v>
      </c>
    </row>
    <row r="110" spans="1:2" x14ac:dyDescent="0.15">
      <c r="A110">
        <v>3003</v>
      </c>
      <c r="B110" t="s">
        <v>750</v>
      </c>
    </row>
    <row r="111" spans="1:2" x14ac:dyDescent="0.15">
      <c r="A111">
        <v>3003</v>
      </c>
      <c r="B111" t="s">
        <v>751</v>
      </c>
    </row>
    <row r="112" spans="1:2" x14ac:dyDescent="0.15">
      <c r="A112">
        <v>3004</v>
      </c>
      <c r="B112" t="s">
        <v>752</v>
      </c>
    </row>
    <row r="113" spans="1:2" x14ac:dyDescent="0.15">
      <c r="A113">
        <v>3004</v>
      </c>
      <c r="B113" t="s">
        <v>753</v>
      </c>
    </row>
    <row r="114" spans="1:2" x14ac:dyDescent="0.15">
      <c r="A114">
        <v>3005</v>
      </c>
      <c r="B114" t="s">
        <v>754</v>
      </c>
    </row>
    <row r="115" spans="1:2" x14ac:dyDescent="0.15">
      <c r="A115">
        <v>3005</v>
      </c>
      <c r="B115" t="s">
        <v>755</v>
      </c>
    </row>
    <row r="116" spans="1:2" x14ac:dyDescent="0.15">
      <c r="A116">
        <v>3007</v>
      </c>
      <c r="B116" t="s">
        <v>756</v>
      </c>
    </row>
    <row r="117" spans="1:2" x14ac:dyDescent="0.15">
      <c r="A117">
        <v>3007</v>
      </c>
      <c r="B117" t="s">
        <v>757</v>
      </c>
    </row>
    <row r="118" spans="1:2" x14ac:dyDescent="0.15">
      <c r="A118">
        <v>3008</v>
      </c>
      <c r="B118" t="s">
        <v>758</v>
      </c>
    </row>
    <row r="119" spans="1:2" x14ac:dyDescent="0.15">
      <c r="A119">
        <v>3008</v>
      </c>
      <c r="B119" t="s">
        <v>759</v>
      </c>
    </row>
    <row r="120" spans="1:2" x14ac:dyDescent="0.15">
      <c r="A120">
        <v>3009</v>
      </c>
      <c r="B120" t="s">
        <v>760</v>
      </c>
    </row>
    <row r="121" spans="1:2" x14ac:dyDescent="0.15">
      <c r="A121">
        <v>3009</v>
      </c>
      <c r="B121" t="s">
        <v>761</v>
      </c>
    </row>
    <row r="122" spans="1:2" x14ac:dyDescent="0.15">
      <c r="A122">
        <v>3010</v>
      </c>
      <c r="B122" t="s">
        <v>762</v>
      </c>
    </row>
    <row r="123" spans="1:2" x14ac:dyDescent="0.15">
      <c r="A123">
        <v>4000</v>
      </c>
      <c r="B123" t="s">
        <v>763</v>
      </c>
    </row>
    <row r="124" spans="1:2" x14ac:dyDescent="0.15">
      <c r="A124">
        <v>4000</v>
      </c>
      <c r="B124" t="s">
        <v>764</v>
      </c>
    </row>
    <row r="125" spans="1:2" x14ac:dyDescent="0.15">
      <c r="A125">
        <v>4001</v>
      </c>
      <c r="B125" t="s">
        <v>765</v>
      </c>
    </row>
    <row r="126" spans="1:2" x14ac:dyDescent="0.15">
      <c r="A126">
        <v>4001</v>
      </c>
      <c r="B126" t="s">
        <v>766</v>
      </c>
    </row>
    <row r="127" spans="1:2" x14ac:dyDescent="0.15">
      <c r="A127">
        <v>4002</v>
      </c>
      <c r="B127" t="s">
        <v>767</v>
      </c>
    </row>
    <row r="128" spans="1:2" x14ac:dyDescent="0.15">
      <c r="A128">
        <v>4002</v>
      </c>
      <c r="B128" t="s">
        <v>768</v>
      </c>
    </row>
    <row r="129" spans="1:2" x14ac:dyDescent="0.15">
      <c r="A129">
        <v>4003</v>
      </c>
      <c r="B129" t="s">
        <v>769</v>
      </c>
    </row>
    <row r="130" spans="1:2" x14ac:dyDescent="0.15">
      <c r="A130">
        <v>4003</v>
      </c>
      <c r="B130" t="s">
        <v>770</v>
      </c>
    </row>
    <row r="131" spans="1:2" x14ac:dyDescent="0.15">
      <c r="A131">
        <v>4004</v>
      </c>
      <c r="B131" t="s">
        <v>771</v>
      </c>
    </row>
    <row r="132" spans="1:2" x14ac:dyDescent="0.15">
      <c r="A132">
        <v>4004</v>
      </c>
      <c r="B132" t="s">
        <v>772</v>
      </c>
    </row>
    <row r="133" spans="1:2" x14ac:dyDescent="0.15">
      <c r="A133">
        <v>4005</v>
      </c>
      <c r="B133" t="s">
        <v>773</v>
      </c>
    </row>
    <row r="134" spans="1:2" x14ac:dyDescent="0.15">
      <c r="A134">
        <v>4005</v>
      </c>
      <c r="B134" t="s">
        <v>774</v>
      </c>
    </row>
    <row r="135" spans="1:2" x14ac:dyDescent="0.15">
      <c r="A135">
        <v>4006</v>
      </c>
      <c r="B135" t="s">
        <v>542</v>
      </c>
    </row>
    <row r="136" spans="1:2" x14ac:dyDescent="0.15">
      <c r="A136">
        <v>4006</v>
      </c>
      <c r="B136" t="s">
        <v>775</v>
      </c>
    </row>
    <row r="137" spans="1:2" x14ac:dyDescent="0.15">
      <c r="A137">
        <v>4007</v>
      </c>
      <c r="B137" t="s">
        <v>776</v>
      </c>
    </row>
    <row r="138" spans="1:2" x14ac:dyDescent="0.15">
      <c r="A138">
        <v>4007</v>
      </c>
      <c r="B138" t="s">
        <v>777</v>
      </c>
    </row>
    <row r="139" spans="1:2" x14ac:dyDescent="0.15">
      <c r="A139">
        <v>4008</v>
      </c>
      <c r="B139" t="s">
        <v>778</v>
      </c>
    </row>
    <row r="140" spans="1:2" x14ac:dyDescent="0.15">
      <c r="A140">
        <v>4008</v>
      </c>
      <c r="B140" t="s">
        <v>779</v>
      </c>
    </row>
    <row r="141" spans="1:2" x14ac:dyDescent="0.15">
      <c r="A141">
        <v>4009</v>
      </c>
      <c r="B141" t="s">
        <v>780</v>
      </c>
    </row>
    <row r="142" spans="1:2" x14ac:dyDescent="0.15">
      <c r="A142">
        <v>4010</v>
      </c>
      <c r="B142" t="s">
        <v>781</v>
      </c>
    </row>
    <row r="143" spans="1:2" x14ac:dyDescent="0.15">
      <c r="A143">
        <v>4010</v>
      </c>
      <c r="B143" t="s">
        <v>782</v>
      </c>
    </row>
    <row r="144" spans="1:2" x14ac:dyDescent="0.15">
      <c r="A144">
        <v>4011</v>
      </c>
      <c r="B144" t="s">
        <v>783</v>
      </c>
    </row>
    <row r="145" spans="1:2" x14ac:dyDescent="0.15">
      <c r="A145">
        <v>4011</v>
      </c>
      <c r="B145" t="s">
        <v>784</v>
      </c>
    </row>
    <row r="146" spans="1:2" x14ac:dyDescent="0.15">
      <c r="A146">
        <v>4012</v>
      </c>
      <c r="B146" t="s">
        <v>785</v>
      </c>
    </row>
    <row r="147" spans="1:2" x14ac:dyDescent="0.15">
      <c r="A147">
        <v>4012</v>
      </c>
      <c r="B147" t="s">
        <v>786</v>
      </c>
    </row>
    <row r="148" spans="1:2" x14ac:dyDescent="0.15">
      <c r="A148">
        <v>4013</v>
      </c>
      <c r="B148" t="s">
        <v>787</v>
      </c>
    </row>
    <row r="149" spans="1:2" x14ac:dyDescent="0.15">
      <c r="A149">
        <v>4013</v>
      </c>
      <c r="B149" t="s">
        <v>788</v>
      </c>
    </row>
    <row r="150" spans="1:2" x14ac:dyDescent="0.15">
      <c r="A150">
        <v>4014</v>
      </c>
      <c r="B150" t="s">
        <v>789</v>
      </c>
    </row>
    <row r="151" spans="1:2" x14ac:dyDescent="0.15">
      <c r="A151">
        <v>4014</v>
      </c>
      <c r="B151" t="s">
        <v>790</v>
      </c>
    </row>
    <row r="152" spans="1:2" x14ac:dyDescent="0.15">
      <c r="A152">
        <v>4015</v>
      </c>
      <c r="B152" t="s">
        <v>791</v>
      </c>
    </row>
    <row r="153" spans="1:2" x14ac:dyDescent="0.15">
      <c r="A153">
        <v>4015</v>
      </c>
      <c r="B153" t="s">
        <v>792</v>
      </c>
    </row>
    <row r="154" spans="1:2" x14ac:dyDescent="0.15">
      <c r="A154">
        <v>4016</v>
      </c>
      <c r="B154" t="s">
        <v>793</v>
      </c>
    </row>
    <row r="155" spans="1:2" x14ac:dyDescent="0.15">
      <c r="A155">
        <v>4016</v>
      </c>
      <c r="B155" t="s">
        <v>794</v>
      </c>
    </row>
    <row r="156" spans="1:2" x14ac:dyDescent="0.15">
      <c r="A156">
        <v>4017</v>
      </c>
      <c r="B156" t="s">
        <v>795</v>
      </c>
    </row>
    <row r="157" spans="1:2" x14ac:dyDescent="0.15">
      <c r="A157">
        <v>4017</v>
      </c>
      <c r="B157" t="s">
        <v>796</v>
      </c>
    </row>
    <row r="158" spans="1:2" x14ac:dyDescent="0.15">
      <c r="A158">
        <v>4018</v>
      </c>
      <c r="B158" t="s">
        <v>797</v>
      </c>
    </row>
    <row r="159" spans="1:2" x14ac:dyDescent="0.15">
      <c r="A159">
        <v>4018</v>
      </c>
      <c r="B159" t="s">
        <v>798</v>
      </c>
    </row>
    <row r="160" spans="1:2" x14ac:dyDescent="0.15">
      <c r="A160">
        <v>4019</v>
      </c>
      <c r="B160" t="s">
        <v>799</v>
      </c>
    </row>
    <row r="161" spans="1:2" x14ac:dyDescent="0.15">
      <c r="A161">
        <v>4019</v>
      </c>
      <c r="B161" t="s">
        <v>800</v>
      </c>
    </row>
    <row r="162" spans="1:2" x14ac:dyDescent="0.15">
      <c r="A162">
        <v>4020</v>
      </c>
      <c r="B162" t="s">
        <v>801</v>
      </c>
    </row>
    <row r="163" spans="1:2" x14ac:dyDescent="0.15">
      <c r="A163">
        <v>4020</v>
      </c>
      <c r="B163" t="s">
        <v>802</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83"/>
  <sheetViews>
    <sheetView tabSelected="1" topLeftCell="A199" workbookViewId="0">
      <selection activeCell="K224" sqref="K224"/>
    </sheetView>
  </sheetViews>
  <sheetFormatPr baseColWidth="10" defaultRowHeight="13" x14ac:dyDescent="0.15"/>
  <sheetData>
    <row r="1" spans="1:7" x14ac:dyDescent="0.15">
      <c r="A1" t="s">
        <v>958</v>
      </c>
      <c r="B1" t="s">
        <v>959</v>
      </c>
      <c r="C1" t="s">
        <v>960</v>
      </c>
      <c r="D1" t="s">
        <v>961</v>
      </c>
      <c r="E1" t="s">
        <v>962</v>
      </c>
      <c r="F1" t="s">
        <v>963</v>
      </c>
      <c r="G1" t="s">
        <v>964</v>
      </c>
    </row>
    <row r="2" spans="1:7" x14ac:dyDescent="0.15">
      <c r="A2" t="s">
        <v>965</v>
      </c>
      <c r="B2" t="s">
        <v>966</v>
      </c>
      <c r="D2" t="s">
        <v>967</v>
      </c>
      <c r="E2" t="s">
        <v>954</v>
      </c>
      <c r="F2">
        <v>1</v>
      </c>
    </row>
    <row r="3" spans="1:7" x14ac:dyDescent="0.15">
      <c r="E3" t="s">
        <v>968</v>
      </c>
      <c r="F3">
        <v>2</v>
      </c>
    </row>
    <row r="4" spans="1:7" x14ac:dyDescent="0.15">
      <c r="E4" t="s">
        <v>969</v>
      </c>
      <c r="F4">
        <v>3</v>
      </c>
    </row>
    <row r="5" spans="1:7" x14ac:dyDescent="0.15">
      <c r="E5" t="s">
        <v>970</v>
      </c>
      <c r="F5">
        <v>4</v>
      </c>
    </row>
    <row r="6" spans="1:7" x14ac:dyDescent="0.15">
      <c r="E6" t="s">
        <v>971</v>
      </c>
      <c r="F6">
        <v>5</v>
      </c>
    </row>
    <row r="7" spans="1:7" x14ac:dyDescent="0.15">
      <c r="E7" t="s">
        <v>972</v>
      </c>
      <c r="F7">
        <v>9999</v>
      </c>
    </row>
    <row r="8" spans="1:7" x14ac:dyDescent="0.15">
      <c r="E8" t="s">
        <v>973</v>
      </c>
      <c r="F8" t="s">
        <v>974</v>
      </c>
    </row>
    <row r="9" spans="1:7" x14ac:dyDescent="0.15">
      <c r="E9" t="s">
        <v>975</v>
      </c>
      <c r="F9" t="s">
        <v>124</v>
      </c>
    </row>
    <row r="10" spans="1:7" x14ac:dyDescent="0.15">
      <c r="B10" t="s">
        <v>976</v>
      </c>
      <c r="D10" t="s">
        <v>977</v>
      </c>
      <c r="E10" t="s">
        <v>954</v>
      </c>
      <c r="F10">
        <v>1</v>
      </c>
    </row>
    <row r="11" spans="1:7" x14ac:dyDescent="0.15">
      <c r="E11" t="s">
        <v>968</v>
      </c>
      <c r="F11">
        <v>2</v>
      </c>
    </row>
    <row r="12" spans="1:7" x14ac:dyDescent="0.15">
      <c r="E12" t="s">
        <v>969</v>
      </c>
      <c r="F12">
        <v>3</v>
      </c>
    </row>
    <row r="13" spans="1:7" x14ac:dyDescent="0.15">
      <c r="E13" t="s">
        <v>970</v>
      </c>
      <c r="F13">
        <v>4</v>
      </c>
    </row>
    <row r="14" spans="1:7" x14ac:dyDescent="0.15">
      <c r="E14" t="s">
        <v>971</v>
      </c>
      <c r="F14">
        <v>5</v>
      </c>
    </row>
    <row r="15" spans="1:7" x14ac:dyDescent="0.15">
      <c r="E15" t="s">
        <v>972</v>
      </c>
      <c r="F15">
        <v>9999</v>
      </c>
    </row>
    <row r="16" spans="1:7" x14ac:dyDescent="0.15">
      <c r="E16" t="s">
        <v>973</v>
      </c>
      <c r="F16" t="s">
        <v>974</v>
      </c>
    </row>
    <row r="17" spans="2:6" x14ac:dyDescent="0.15">
      <c r="E17" t="s">
        <v>975</v>
      </c>
      <c r="F17" t="s">
        <v>124</v>
      </c>
    </row>
    <row r="18" spans="2:6" x14ac:dyDescent="0.15">
      <c r="B18" t="s">
        <v>978</v>
      </c>
      <c r="D18" t="s">
        <v>979</v>
      </c>
      <c r="E18" t="s">
        <v>954</v>
      </c>
      <c r="F18">
        <v>1</v>
      </c>
    </row>
    <row r="19" spans="2:6" x14ac:dyDescent="0.15">
      <c r="E19" t="s">
        <v>968</v>
      </c>
      <c r="F19">
        <v>2</v>
      </c>
    </row>
    <row r="20" spans="2:6" x14ac:dyDescent="0.15">
      <c r="E20" t="s">
        <v>969</v>
      </c>
      <c r="F20">
        <v>3</v>
      </c>
    </row>
    <row r="21" spans="2:6" x14ac:dyDescent="0.15">
      <c r="E21" t="s">
        <v>970</v>
      </c>
      <c r="F21">
        <v>4</v>
      </c>
    </row>
    <row r="22" spans="2:6" x14ac:dyDescent="0.15">
      <c r="E22" t="s">
        <v>971</v>
      </c>
      <c r="F22">
        <v>5</v>
      </c>
    </row>
    <row r="23" spans="2:6" x14ac:dyDescent="0.15">
      <c r="E23" t="s">
        <v>972</v>
      </c>
      <c r="F23">
        <v>9999</v>
      </c>
    </row>
    <row r="24" spans="2:6" x14ac:dyDescent="0.15">
      <c r="E24" t="s">
        <v>973</v>
      </c>
      <c r="F24" t="s">
        <v>974</v>
      </c>
    </row>
    <row r="25" spans="2:6" x14ac:dyDescent="0.15">
      <c r="E25" t="s">
        <v>975</v>
      </c>
      <c r="F25" t="s">
        <v>124</v>
      </c>
    </row>
    <row r="26" spans="2:6" x14ac:dyDescent="0.15">
      <c r="B26" t="s">
        <v>980</v>
      </c>
      <c r="D26" t="s">
        <v>981</v>
      </c>
      <c r="E26" t="s">
        <v>954</v>
      </c>
      <c r="F26">
        <v>1</v>
      </c>
    </row>
    <row r="27" spans="2:6" x14ac:dyDescent="0.15">
      <c r="E27" t="s">
        <v>968</v>
      </c>
      <c r="F27">
        <v>2</v>
      </c>
    </row>
    <row r="28" spans="2:6" x14ac:dyDescent="0.15">
      <c r="E28" t="s">
        <v>969</v>
      </c>
      <c r="F28">
        <v>3</v>
      </c>
    </row>
    <row r="29" spans="2:6" x14ac:dyDescent="0.15">
      <c r="E29" t="s">
        <v>970</v>
      </c>
      <c r="F29">
        <v>4</v>
      </c>
    </row>
    <row r="30" spans="2:6" x14ac:dyDescent="0.15">
      <c r="E30" t="s">
        <v>971</v>
      </c>
      <c r="F30">
        <v>5</v>
      </c>
    </row>
    <row r="31" spans="2:6" x14ac:dyDescent="0.15">
      <c r="E31" t="s">
        <v>972</v>
      </c>
      <c r="F31">
        <v>9999</v>
      </c>
    </row>
    <row r="32" spans="2:6" x14ac:dyDescent="0.15">
      <c r="E32" t="s">
        <v>973</v>
      </c>
      <c r="F32" t="s">
        <v>974</v>
      </c>
    </row>
    <row r="33" spans="2:6" x14ac:dyDescent="0.15">
      <c r="E33" t="s">
        <v>975</v>
      </c>
      <c r="F33" t="s">
        <v>124</v>
      </c>
    </row>
    <row r="34" spans="2:6" x14ac:dyDescent="0.15">
      <c r="B34" t="s">
        <v>982</v>
      </c>
      <c r="D34" t="s">
        <v>983</v>
      </c>
      <c r="E34" t="s">
        <v>954</v>
      </c>
      <c r="F34">
        <v>1</v>
      </c>
    </row>
    <row r="35" spans="2:6" x14ac:dyDescent="0.15">
      <c r="E35" t="s">
        <v>968</v>
      </c>
      <c r="F35">
        <v>2</v>
      </c>
    </row>
    <row r="36" spans="2:6" x14ac:dyDescent="0.15">
      <c r="E36" t="s">
        <v>969</v>
      </c>
      <c r="F36">
        <v>3</v>
      </c>
    </row>
    <row r="37" spans="2:6" x14ac:dyDescent="0.15">
      <c r="E37" t="s">
        <v>970</v>
      </c>
      <c r="F37">
        <v>4</v>
      </c>
    </row>
    <row r="38" spans="2:6" x14ac:dyDescent="0.15">
      <c r="E38" t="s">
        <v>971</v>
      </c>
      <c r="F38">
        <v>5</v>
      </c>
    </row>
    <row r="39" spans="2:6" x14ac:dyDescent="0.15">
      <c r="E39" t="s">
        <v>972</v>
      </c>
      <c r="F39">
        <v>9999</v>
      </c>
    </row>
    <row r="40" spans="2:6" x14ac:dyDescent="0.15">
      <c r="E40" t="s">
        <v>973</v>
      </c>
      <c r="F40" t="s">
        <v>974</v>
      </c>
    </row>
    <row r="41" spans="2:6" x14ac:dyDescent="0.15">
      <c r="E41" t="s">
        <v>975</v>
      </c>
      <c r="F41" t="s">
        <v>124</v>
      </c>
    </row>
    <row r="42" spans="2:6" x14ac:dyDescent="0.15">
      <c r="B42" t="s">
        <v>984</v>
      </c>
      <c r="D42" t="s">
        <v>985</v>
      </c>
      <c r="E42" t="s">
        <v>954</v>
      </c>
      <c r="F42">
        <v>1</v>
      </c>
    </row>
    <row r="43" spans="2:6" x14ac:dyDescent="0.15">
      <c r="E43" t="s">
        <v>968</v>
      </c>
      <c r="F43">
        <v>2</v>
      </c>
    </row>
    <row r="44" spans="2:6" x14ac:dyDescent="0.15">
      <c r="E44" t="s">
        <v>969</v>
      </c>
      <c r="F44">
        <v>3</v>
      </c>
    </row>
    <row r="45" spans="2:6" x14ac:dyDescent="0.15">
      <c r="E45" t="s">
        <v>970</v>
      </c>
      <c r="F45">
        <v>4</v>
      </c>
    </row>
    <row r="46" spans="2:6" x14ac:dyDescent="0.15">
      <c r="E46" t="s">
        <v>971</v>
      </c>
      <c r="F46">
        <v>5</v>
      </c>
    </row>
    <row r="47" spans="2:6" x14ac:dyDescent="0.15">
      <c r="E47" t="s">
        <v>972</v>
      </c>
      <c r="F47">
        <v>9999</v>
      </c>
    </row>
    <row r="48" spans="2:6" x14ac:dyDescent="0.15">
      <c r="E48" t="s">
        <v>973</v>
      </c>
      <c r="F48" t="s">
        <v>974</v>
      </c>
    </row>
    <row r="49" spans="2:6" x14ac:dyDescent="0.15">
      <c r="E49" t="s">
        <v>975</v>
      </c>
      <c r="F49" t="s">
        <v>124</v>
      </c>
    </row>
    <row r="50" spans="2:6" x14ac:dyDescent="0.15">
      <c r="B50" t="s">
        <v>986</v>
      </c>
      <c r="D50" t="s">
        <v>987</v>
      </c>
      <c r="E50" t="s">
        <v>954</v>
      </c>
      <c r="F50">
        <v>1</v>
      </c>
    </row>
    <row r="51" spans="2:6" x14ac:dyDescent="0.15">
      <c r="E51" t="s">
        <v>968</v>
      </c>
      <c r="F51">
        <v>2</v>
      </c>
    </row>
    <row r="52" spans="2:6" x14ac:dyDescent="0.15">
      <c r="E52" t="s">
        <v>969</v>
      </c>
      <c r="F52">
        <v>3</v>
      </c>
    </row>
    <row r="53" spans="2:6" x14ac:dyDescent="0.15">
      <c r="E53" t="s">
        <v>970</v>
      </c>
      <c r="F53">
        <v>4</v>
      </c>
    </row>
    <row r="54" spans="2:6" x14ac:dyDescent="0.15">
      <c r="E54" t="s">
        <v>971</v>
      </c>
      <c r="F54">
        <v>5</v>
      </c>
    </row>
    <row r="55" spans="2:6" x14ac:dyDescent="0.15">
      <c r="E55" t="s">
        <v>972</v>
      </c>
      <c r="F55">
        <v>9999</v>
      </c>
    </row>
    <row r="56" spans="2:6" x14ac:dyDescent="0.15">
      <c r="E56" t="s">
        <v>973</v>
      </c>
      <c r="F56" t="s">
        <v>974</v>
      </c>
    </row>
    <row r="57" spans="2:6" x14ac:dyDescent="0.15">
      <c r="E57" t="s">
        <v>975</v>
      </c>
      <c r="F57" t="s">
        <v>124</v>
      </c>
    </row>
    <row r="58" spans="2:6" x14ac:dyDescent="0.15">
      <c r="B58" t="s">
        <v>988</v>
      </c>
      <c r="D58" t="s">
        <v>989</v>
      </c>
      <c r="E58" t="s">
        <v>954</v>
      </c>
      <c r="F58">
        <v>1</v>
      </c>
    </row>
    <row r="59" spans="2:6" x14ac:dyDescent="0.15">
      <c r="E59" t="s">
        <v>968</v>
      </c>
      <c r="F59">
        <v>2</v>
      </c>
    </row>
    <row r="60" spans="2:6" x14ac:dyDescent="0.15">
      <c r="E60" t="s">
        <v>969</v>
      </c>
      <c r="F60">
        <v>3</v>
      </c>
    </row>
    <row r="61" spans="2:6" x14ac:dyDescent="0.15">
      <c r="E61" t="s">
        <v>970</v>
      </c>
      <c r="F61">
        <v>4</v>
      </c>
    </row>
    <row r="62" spans="2:6" x14ac:dyDescent="0.15">
      <c r="E62" t="s">
        <v>971</v>
      </c>
      <c r="F62">
        <v>5</v>
      </c>
    </row>
    <row r="63" spans="2:6" x14ac:dyDescent="0.15">
      <c r="E63" t="s">
        <v>972</v>
      </c>
      <c r="F63">
        <v>9999</v>
      </c>
    </row>
    <row r="64" spans="2:6" x14ac:dyDescent="0.15">
      <c r="E64" t="s">
        <v>973</v>
      </c>
      <c r="F64" t="s">
        <v>974</v>
      </c>
    </row>
    <row r="65" spans="2:6" x14ac:dyDescent="0.15">
      <c r="E65" t="s">
        <v>975</v>
      </c>
      <c r="F65" t="s">
        <v>124</v>
      </c>
    </row>
    <row r="66" spans="2:6" x14ac:dyDescent="0.15">
      <c r="B66" t="s">
        <v>990</v>
      </c>
      <c r="D66" t="s">
        <v>991</v>
      </c>
      <c r="E66" t="s">
        <v>954</v>
      </c>
      <c r="F66">
        <v>1</v>
      </c>
    </row>
    <row r="67" spans="2:6" x14ac:dyDescent="0.15">
      <c r="E67" t="s">
        <v>968</v>
      </c>
      <c r="F67">
        <v>2</v>
      </c>
    </row>
    <row r="68" spans="2:6" x14ac:dyDescent="0.15">
      <c r="E68" t="s">
        <v>969</v>
      </c>
      <c r="F68">
        <v>3</v>
      </c>
    </row>
    <row r="69" spans="2:6" x14ac:dyDescent="0.15">
      <c r="E69" t="s">
        <v>970</v>
      </c>
      <c r="F69">
        <v>4</v>
      </c>
    </row>
    <row r="70" spans="2:6" x14ac:dyDescent="0.15">
      <c r="E70" t="s">
        <v>971</v>
      </c>
      <c r="F70">
        <v>5</v>
      </c>
    </row>
    <row r="71" spans="2:6" x14ac:dyDescent="0.15">
      <c r="E71" t="s">
        <v>972</v>
      </c>
      <c r="F71">
        <v>9999</v>
      </c>
    </row>
    <row r="72" spans="2:6" x14ac:dyDescent="0.15">
      <c r="E72" t="s">
        <v>973</v>
      </c>
      <c r="F72" t="s">
        <v>974</v>
      </c>
    </row>
    <row r="73" spans="2:6" x14ac:dyDescent="0.15">
      <c r="E73" t="s">
        <v>975</v>
      </c>
      <c r="F73" t="s">
        <v>124</v>
      </c>
    </row>
    <row r="74" spans="2:6" x14ac:dyDescent="0.15">
      <c r="B74" t="s">
        <v>992</v>
      </c>
      <c r="D74" t="s">
        <v>993</v>
      </c>
      <c r="E74" t="s">
        <v>994</v>
      </c>
      <c r="F74">
        <v>1</v>
      </c>
    </row>
    <row r="75" spans="2:6" x14ac:dyDescent="0.15">
      <c r="E75" t="s">
        <v>995</v>
      </c>
      <c r="F75">
        <v>2</v>
      </c>
    </row>
    <row r="76" spans="2:6" x14ac:dyDescent="0.15">
      <c r="E76" t="s">
        <v>996</v>
      </c>
      <c r="F76">
        <v>3</v>
      </c>
    </row>
    <row r="77" spans="2:6" x14ac:dyDescent="0.15">
      <c r="E77" t="s">
        <v>997</v>
      </c>
      <c r="F77">
        <v>4</v>
      </c>
    </row>
    <row r="78" spans="2:6" x14ac:dyDescent="0.15">
      <c r="E78" t="s">
        <v>998</v>
      </c>
      <c r="F78">
        <v>5</v>
      </c>
    </row>
    <row r="79" spans="2:6" x14ac:dyDescent="0.15">
      <c r="E79" t="s">
        <v>972</v>
      </c>
      <c r="F79">
        <v>9999</v>
      </c>
    </row>
    <row r="80" spans="2:6" x14ac:dyDescent="0.15">
      <c r="E80" t="s">
        <v>973</v>
      </c>
      <c r="F80" t="s">
        <v>974</v>
      </c>
    </row>
    <row r="81" spans="2:6" x14ac:dyDescent="0.15">
      <c r="E81" t="s">
        <v>975</v>
      </c>
      <c r="F81" t="s">
        <v>124</v>
      </c>
    </row>
    <row r="82" spans="2:6" x14ac:dyDescent="0.15">
      <c r="B82" t="s">
        <v>999</v>
      </c>
      <c r="D82" t="s">
        <v>1000</v>
      </c>
      <c r="E82" t="s">
        <v>1001</v>
      </c>
      <c r="F82">
        <v>0</v>
      </c>
    </row>
    <row r="83" spans="2:6" x14ac:dyDescent="0.15">
      <c r="E83" t="s">
        <v>1002</v>
      </c>
      <c r="F83">
        <v>1</v>
      </c>
    </row>
    <row r="84" spans="2:6" x14ac:dyDescent="0.15">
      <c r="E84" t="s">
        <v>972</v>
      </c>
      <c r="F84">
        <v>9999</v>
      </c>
    </row>
    <row r="85" spans="2:6" x14ac:dyDescent="0.15">
      <c r="E85" t="s">
        <v>973</v>
      </c>
      <c r="F85" t="s">
        <v>974</v>
      </c>
    </row>
    <row r="86" spans="2:6" x14ac:dyDescent="0.15">
      <c r="E86" t="s">
        <v>975</v>
      </c>
      <c r="F86" t="s">
        <v>124</v>
      </c>
    </row>
    <row r="87" spans="2:6" x14ac:dyDescent="0.15">
      <c r="B87" t="s">
        <v>1003</v>
      </c>
      <c r="D87" t="s">
        <v>1004</v>
      </c>
      <c r="E87" t="s">
        <v>1001</v>
      </c>
      <c r="F87">
        <v>0</v>
      </c>
    </row>
    <row r="88" spans="2:6" x14ac:dyDescent="0.15">
      <c r="E88" t="s">
        <v>1002</v>
      </c>
      <c r="F88">
        <v>1</v>
      </c>
    </row>
    <row r="89" spans="2:6" x14ac:dyDescent="0.15">
      <c r="E89" t="s">
        <v>972</v>
      </c>
      <c r="F89">
        <v>9999</v>
      </c>
    </row>
    <row r="90" spans="2:6" x14ac:dyDescent="0.15">
      <c r="E90" t="s">
        <v>973</v>
      </c>
      <c r="F90" t="s">
        <v>974</v>
      </c>
    </row>
    <row r="91" spans="2:6" x14ac:dyDescent="0.15">
      <c r="E91" t="s">
        <v>975</v>
      </c>
      <c r="F91" t="s">
        <v>124</v>
      </c>
    </row>
    <row r="92" spans="2:6" x14ac:dyDescent="0.15">
      <c r="B92" t="s">
        <v>1005</v>
      </c>
      <c r="D92" t="s">
        <v>1006</v>
      </c>
      <c r="E92" t="s">
        <v>1001</v>
      </c>
      <c r="F92">
        <v>0</v>
      </c>
    </row>
    <row r="93" spans="2:6" x14ac:dyDescent="0.15">
      <c r="E93" t="s">
        <v>1002</v>
      </c>
      <c r="F93">
        <v>1</v>
      </c>
    </row>
    <row r="94" spans="2:6" x14ac:dyDescent="0.15">
      <c r="E94" t="s">
        <v>972</v>
      </c>
      <c r="F94">
        <v>9999</v>
      </c>
    </row>
    <row r="95" spans="2:6" x14ac:dyDescent="0.15">
      <c r="E95" t="s">
        <v>973</v>
      </c>
      <c r="F95" t="s">
        <v>974</v>
      </c>
    </row>
    <row r="96" spans="2:6" x14ac:dyDescent="0.15">
      <c r="E96" t="s">
        <v>975</v>
      </c>
      <c r="F96" t="s">
        <v>124</v>
      </c>
    </row>
    <row r="97" spans="1:6" x14ac:dyDescent="0.15">
      <c r="A97" t="s">
        <v>1007</v>
      </c>
      <c r="B97" t="s">
        <v>1008</v>
      </c>
      <c r="D97" t="s">
        <v>1009</v>
      </c>
      <c r="E97" t="s">
        <v>1010</v>
      </c>
      <c r="F97">
        <v>0</v>
      </c>
    </row>
    <row r="98" spans="1:6" x14ac:dyDescent="0.15">
      <c r="E98" t="s">
        <v>1011</v>
      </c>
      <c r="F98">
        <v>1</v>
      </c>
    </row>
    <row r="99" spans="1:6" x14ac:dyDescent="0.15">
      <c r="E99" t="s">
        <v>1012</v>
      </c>
      <c r="F99">
        <v>2</v>
      </c>
    </row>
    <row r="100" spans="1:6" x14ac:dyDescent="0.15">
      <c r="E100" t="s">
        <v>1013</v>
      </c>
      <c r="F100">
        <v>3</v>
      </c>
    </row>
    <row r="101" spans="1:6" x14ac:dyDescent="0.15">
      <c r="E101" t="s">
        <v>972</v>
      </c>
      <c r="F101">
        <v>9999</v>
      </c>
    </row>
    <row r="102" spans="1:6" x14ac:dyDescent="0.15">
      <c r="E102" t="s">
        <v>973</v>
      </c>
      <c r="F102" t="s">
        <v>974</v>
      </c>
    </row>
    <row r="103" spans="1:6" x14ac:dyDescent="0.15">
      <c r="E103" t="s">
        <v>975</v>
      </c>
      <c r="F103" t="s">
        <v>124</v>
      </c>
    </row>
    <row r="104" spans="1:6" x14ac:dyDescent="0.15">
      <c r="B104" t="s">
        <v>1014</v>
      </c>
      <c r="D104" t="s">
        <v>1015</v>
      </c>
      <c r="E104" t="s">
        <v>1016</v>
      </c>
      <c r="F104">
        <v>0</v>
      </c>
    </row>
    <row r="105" spans="1:6" x14ac:dyDescent="0.15">
      <c r="E105" t="s">
        <v>1017</v>
      </c>
      <c r="F105">
        <v>1</v>
      </c>
    </row>
    <row r="106" spans="1:6" x14ac:dyDescent="0.15">
      <c r="E106" t="s">
        <v>1018</v>
      </c>
      <c r="F106">
        <v>2</v>
      </c>
    </row>
    <row r="107" spans="1:6" x14ac:dyDescent="0.15">
      <c r="E107" t="s">
        <v>1019</v>
      </c>
      <c r="F107">
        <v>3</v>
      </c>
    </row>
    <row r="108" spans="1:6" x14ac:dyDescent="0.15">
      <c r="E108" t="s">
        <v>972</v>
      </c>
      <c r="F108">
        <v>9999</v>
      </c>
    </row>
    <row r="109" spans="1:6" x14ac:dyDescent="0.15">
      <c r="E109" t="s">
        <v>973</v>
      </c>
      <c r="F109" t="s">
        <v>974</v>
      </c>
    </row>
    <row r="110" spans="1:6" x14ac:dyDescent="0.15">
      <c r="E110" t="s">
        <v>975</v>
      </c>
      <c r="F110" t="s">
        <v>124</v>
      </c>
    </row>
    <row r="111" spans="1:6" x14ac:dyDescent="0.15">
      <c r="B111" t="s">
        <v>1020</v>
      </c>
      <c r="D111" t="s">
        <v>1021</v>
      </c>
      <c r="E111" t="s">
        <v>1022</v>
      </c>
      <c r="F111">
        <v>0</v>
      </c>
    </row>
    <row r="112" spans="1:6" x14ac:dyDescent="0.15">
      <c r="E112" t="s">
        <v>969</v>
      </c>
      <c r="F112">
        <v>1</v>
      </c>
    </row>
    <row r="113" spans="1:6" x14ac:dyDescent="0.15">
      <c r="E113" t="s">
        <v>970</v>
      </c>
      <c r="F113">
        <v>2</v>
      </c>
    </row>
    <row r="114" spans="1:6" x14ac:dyDescent="0.15">
      <c r="E114" t="s">
        <v>971</v>
      </c>
      <c r="F114">
        <v>3</v>
      </c>
    </row>
    <row r="115" spans="1:6" x14ac:dyDescent="0.15">
      <c r="E115" t="s">
        <v>972</v>
      </c>
      <c r="F115">
        <v>9999</v>
      </c>
    </row>
    <row r="116" spans="1:6" x14ac:dyDescent="0.15">
      <c r="E116" t="s">
        <v>973</v>
      </c>
      <c r="F116" t="s">
        <v>974</v>
      </c>
    </row>
    <row r="117" spans="1:6" x14ac:dyDescent="0.15">
      <c r="E117" t="s">
        <v>975</v>
      </c>
      <c r="F117" t="s">
        <v>124</v>
      </c>
    </row>
    <row r="118" spans="1:6" x14ac:dyDescent="0.15">
      <c r="B118" t="s">
        <v>1023</v>
      </c>
      <c r="D118" t="s">
        <v>1024</v>
      </c>
      <c r="E118" t="s">
        <v>1025</v>
      </c>
      <c r="F118">
        <v>0</v>
      </c>
    </row>
    <row r="119" spans="1:6" x14ac:dyDescent="0.15">
      <c r="E119" t="s">
        <v>1026</v>
      </c>
      <c r="F119">
        <v>1</v>
      </c>
    </row>
    <row r="120" spans="1:6" x14ac:dyDescent="0.15">
      <c r="E120" t="s">
        <v>1027</v>
      </c>
      <c r="F120">
        <v>2</v>
      </c>
    </row>
    <row r="121" spans="1:6" x14ac:dyDescent="0.15">
      <c r="E121" t="s">
        <v>1028</v>
      </c>
      <c r="F121">
        <v>3</v>
      </c>
    </row>
    <row r="122" spans="1:6" x14ac:dyDescent="0.15">
      <c r="E122" t="s">
        <v>1029</v>
      </c>
      <c r="F122">
        <v>4</v>
      </c>
    </row>
    <row r="123" spans="1:6" x14ac:dyDescent="0.15">
      <c r="E123" t="s">
        <v>1030</v>
      </c>
      <c r="F123">
        <v>5</v>
      </c>
    </row>
    <row r="124" spans="1:6" x14ac:dyDescent="0.15">
      <c r="E124" t="s">
        <v>972</v>
      </c>
      <c r="F124">
        <v>9999</v>
      </c>
    </row>
    <row r="125" spans="1:6" x14ac:dyDescent="0.15">
      <c r="E125" t="s">
        <v>973</v>
      </c>
      <c r="F125" t="s">
        <v>974</v>
      </c>
    </row>
    <row r="126" spans="1:6" x14ac:dyDescent="0.15">
      <c r="E126" t="s">
        <v>975</v>
      </c>
      <c r="F126" t="s">
        <v>124</v>
      </c>
    </row>
    <row r="127" spans="1:6" x14ac:dyDescent="0.15">
      <c r="A127" t="s">
        <v>1031</v>
      </c>
      <c r="B127" t="s">
        <v>21</v>
      </c>
      <c r="D127" t="s">
        <v>1032</v>
      </c>
      <c r="E127" t="s">
        <v>1025</v>
      </c>
      <c r="F127">
        <v>0</v>
      </c>
    </row>
    <row r="128" spans="1:6" x14ac:dyDescent="0.15">
      <c r="E128" t="s">
        <v>969</v>
      </c>
      <c r="F128">
        <v>1</v>
      </c>
    </row>
    <row r="129" spans="2:6" x14ac:dyDescent="0.15">
      <c r="E129" t="s">
        <v>970</v>
      </c>
      <c r="F129">
        <v>2</v>
      </c>
    </row>
    <row r="130" spans="2:6" x14ac:dyDescent="0.15">
      <c r="E130" t="s">
        <v>971</v>
      </c>
      <c r="F130">
        <v>3</v>
      </c>
    </row>
    <row r="131" spans="2:6" x14ac:dyDescent="0.15">
      <c r="E131" t="s">
        <v>972</v>
      </c>
      <c r="F131">
        <v>9999</v>
      </c>
    </row>
    <row r="132" spans="2:6" x14ac:dyDescent="0.15">
      <c r="E132" t="s">
        <v>973</v>
      </c>
      <c r="F132" t="s">
        <v>974</v>
      </c>
    </row>
    <row r="133" spans="2:6" x14ac:dyDescent="0.15">
      <c r="E133" t="s">
        <v>975</v>
      </c>
      <c r="F133" t="s">
        <v>124</v>
      </c>
    </row>
    <row r="134" spans="2:6" x14ac:dyDescent="0.15">
      <c r="B134" t="s">
        <v>1033</v>
      </c>
      <c r="D134" t="s">
        <v>1034</v>
      </c>
      <c r="E134" t="s">
        <v>1025</v>
      </c>
      <c r="F134">
        <v>0</v>
      </c>
    </row>
    <row r="135" spans="2:6" x14ac:dyDescent="0.15">
      <c r="E135" t="s">
        <v>969</v>
      </c>
      <c r="F135">
        <v>1</v>
      </c>
    </row>
    <row r="136" spans="2:6" x14ac:dyDescent="0.15">
      <c r="E136" t="s">
        <v>970</v>
      </c>
      <c r="F136">
        <v>2</v>
      </c>
    </row>
    <row r="137" spans="2:6" x14ac:dyDescent="0.15">
      <c r="E137" t="s">
        <v>971</v>
      </c>
      <c r="F137">
        <v>3</v>
      </c>
    </row>
    <row r="138" spans="2:6" x14ac:dyDescent="0.15">
      <c r="E138" t="s">
        <v>972</v>
      </c>
      <c r="F138">
        <v>9999</v>
      </c>
    </row>
    <row r="139" spans="2:6" x14ac:dyDescent="0.15">
      <c r="E139" t="s">
        <v>973</v>
      </c>
      <c r="F139" t="s">
        <v>974</v>
      </c>
    </row>
    <row r="140" spans="2:6" x14ac:dyDescent="0.15">
      <c r="E140" t="s">
        <v>975</v>
      </c>
      <c r="F140" t="s">
        <v>124</v>
      </c>
    </row>
    <row r="141" spans="2:6" x14ac:dyDescent="0.15">
      <c r="B141" t="s">
        <v>1035</v>
      </c>
      <c r="D141" t="s">
        <v>1036</v>
      </c>
      <c r="E141" t="s">
        <v>1025</v>
      </c>
      <c r="F141">
        <v>0</v>
      </c>
    </row>
    <row r="142" spans="2:6" x14ac:dyDescent="0.15">
      <c r="E142" t="s">
        <v>969</v>
      </c>
      <c r="F142">
        <v>1</v>
      </c>
    </row>
    <row r="143" spans="2:6" x14ac:dyDescent="0.15">
      <c r="E143" t="s">
        <v>970</v>
      </c>
      <c r="F143">
        <v>2</v>
      </c>
    </row>
    <row r="144" spans="2:6" x14ac:dyDescent="0.15">
      <c r="E144" t="s">
        <v>971</v>
      </c>
      <c r="F144">
        <v>3</v>
      </c>
    </row>
    <row r="145" spans="2:6" x14ac:dyDescent="0.15">
      <c r="E145" t="s">
        <v>972</v>
      </c>
      <c r="F145">
        <v>9999</v>
      </c>
    </row>
    <row r="146" spans="2:6" x14ac:dyDescent="0.15">
      <c r="E146" t="s">
        <v>973</v>
      </c>
      <c r="F146" t="s">
        <v>974</v>
      </c>
    </row>
    <row r="147" spans="2:6" x14ac:dyDescent="0.15">
      <c r="E147" t="s">
        <v>975</v>
      </c>
      <c r="F147" t="s">
        <v>124</v>
      </c>
    </row>
    <row r="148" spans="2:6" x14ac:dyDescent="0.15">
      <c r="B148" t="s">
        <v>1037</v>
      </c>
      <c r="D148" t="s">
        <v>1038</v>
      </c>
      <c r="E148" t="s">
        <v>1025</v>
      </c>
      <c r="F148">
        <v>0</v>
      </c>
    </row>
    <row r="149" spans="2:6" x14ac:dyDescent="0.15">
      <c r="E149" t="s">
        <v>969</v>
      </c>
      <c r="F149">
        <v>1</v>
      </c>
    </row>
    <row r="150" spans="2:6" x14ac:dyDescent="0.15">
      <c r="E150" t="s">
        <v>970</v>
      </c>
      <c r="F150">
        <v>2</v>
      </c>
    </row>
    <row r="151" spans="2:6" x14ac:dyDescent="0.15">
      <c r="E151" t="s">
        <v>971</v>
      </c>
      <c r="F151">
        <v>3</v>
      </c>
    </row>
    <row r="152" spans="2:6" x14ac:dyDescent="0.15">
      <c r="E152" t="s">
        <v>972</v>
      </c>
      <c r="F152">
        <v>9999</v>
      </c>
    </row>
    <row r="153" spans="2:6" x14ac:dyDescent="0.15">
      <c r="E153" t="s">
        <v>973</v>
      </c>
      <c r="F153" t="s">
        <v>974</v>
      </c>
    </row>
    <row r="154" spans="2:6" x14ac:dyDescent="0.15">
      <c r="E154" t="s">
        <v>975</v>
      </c>
      <c r="F154" t="s">
        <v>124</v>
      </c>
    </row>
    <row r="155" spans="2:6" x14ac:dyDescent="0.15">
      <c r="B155" t="s">
        <v>1039</v>
      </c>
      <c r="D155" t="s">
        <v>1040</v>
      </c>
      <c r="E155" t="s">
        <v>1025</v>
      </c>
      <c r="F155">
        <v>0</v>
      </c>
    </row>
    <row r="156" spans="2:6" x14ac:dyDescent="0.15">
      <c r="E156" t="s">
        <v>969</v>
      </c>
      <c r="F156">
        <v>1</v>
      </c>
    </row>
    <row r="157" spans="2:6" x14ac:dyDescent="0.15">
      <c r="E157" t="s">
        <v>970</v>
      </c>
      <c r="F157">
        <v>2</v>
      </c>
    </row>
    <row r="158" spans="2:6" x14ac:dyDescent="0.15">
      <c r="E158" t="s">
        <v>971</v>
      </c>
      <c r="F158">
        <v>3</v>
      </c>
    </row>
    <row r="159" spans="2:6" x14ac:dyDescent="0.15">
      <c r="E159" t="s">
        <v>972</v>
      </c>
      <c r="F159">
        <v>9999</v>
      </c>
    </row>
    <row r="160" spans="2:6" x14ac:dyDescent="0.15">
      <c r="E160" t="s">
        <v>973</v>
      </c>
      <c r="F160" t="s">
        <v>974</v>
      </c>
    </row>
    <row r="161" spans="2:6" x14ac:dyDescent="0.15">
      <c r="E161" t="s">
        <v>975</v>
      </c>
      <c r="F161" t="s">
        <v>124</v>
      </c>
    </row>
    <row r="162" spans="2:6" x14ac:dyDescent="0.15">
      <c r="B162" t="s">
        <v>1041</v>
      </c>
      <c r="D162" t="s">
        <v>1042</v>
      </c>
      <c r="E162" t="s">
        <v>1025</v>
      </c>
      <c r="F162">
        <v>0</v>
      </c>
    </row>
    <row r="163" spans="2:6" x14ac:dyDescent="0.15">
      <c r="E163" t="s">
        <v>969</v>
      </c>
      <c r="F163">
        <v>1</v>
      </c>
    </row>
    <row r="164" spans="2:6" x14ac:dyDescent="0.15">
      <c r="E164" t="s">
        <v>970</v>
      </c>
      <c r="F164">
        <v>2</v>
      </c>
    </row>
    <row r="165" spans="2:6" x14ac:dyDescent="0.15">
      <c r="E165" t="s">
        <v>971</v>
      </c>
      <c r="F165">
        <v>3</v>
      </c>
    </row>
    <row r="166" spans="2:6" x14ac:dyDescent="0.15">
      <c r="E166" t="s">
        <v>972</v>
      </c>
      <c r="F166">
        <v>9999</v>
      </c>
    </row>
    <row r="167" spans="2:6" x14ac:dyDescent="0.15">
      <c r="E167" t="s">
        <v>973</v>
      </c>
      <c r="F167" t="s">
        <v>974</v>
      </c>
    </row>
    <row r="168" spans="2:6" x14ac:dyDescent="0.15">
      <c r="E168" t="s">
        <v>975</v>
      </c>
      <c r="F168" t="s">
        <v>124</v>
      </c>
    </row>
    <row r="169" spans="2:6" x14ac:dyDescent="0.15">
      <c r="B169" t="s">
        <v>1043</v>
      </c>
      <c r="D169" t="s">
        <v>1044</v>
      </c>
      <c r="E169" t="s">
        <v>1025</v>
      </c>
      <c r="F169">
        <v>0</v>
      </c>
    </row>
    <row r="170" spans="2:6" x14ac:dyDescent="0.15">
      <c r="E170" t="s">
        <v>969</v>
      </c>
      <c r="F170">
        <v>1</v>
      </c>
    </row>
    <row r="171" spans="2:6" x14ac:dyDescent="0.15">
      <c r="E171" t="s">
        <v>970</v>
      </c>
      <c r="F171">
        <v>2</v>
      </c>
    </row>
    <row r="172" spans="2:6" x14ac:dyDescent="0.15">
      <c r="E172" t="s">
        <v>971</v>
      </c>
      <c r="F172">
        <v>3</v>
      </c>
    </row>
    <row r="173" spans="2:6" x14ac:dyDescent="0.15">
      <c r="E173" t="s">
        <v>972</v>
      </c>
      <c r="F173">
        <v>9999</v>
      </c>
    </row>
    <row r="174" spans="2:6" x14ac:dyDescent="0.15">
      <c r="E174" t="s">
        <v>973</v>
      </c>
      <c r="F174" t="s">
        <v>974</v>
      </c>
    </row>
    <row r="175" spans="2:6" x14ac:dyDescent="0.15">
      <c r="E175" t="s">
        <v>975</v>
      </c>
      <c r="F175" t="s">
        <v>124</v>
      </c>
    </row>
    <row r="176" spans="2:6" x14ac:dyDescent="0.15">
      <c r="B176" t="s">
        <v>1045</v>
      </c>
      <c r="D176" t="s">
        <v>1046</v>
      </c>
      <c r="E176" t="s">
        <v>1025</v>
      </c>
      <c r="F176">
        <v>0</v>
      </c>
    </row>
    <row r="177" spans="1:6" x14ac:dyDescent="0.15">
      <c r="E177" t="s">
        <v>969</v>
      </c>
      <c r="F177">
        <v>1</v>
      </c>
    </row>
    <row r="178" spans="1:6" x14ac:dyDescent="0.15">
      <c r="E178" t="s">
        <v>970</v>
      </c>
      <c r="F178">
        <v>2</v>
      </c>
    </row>
    <row r="179" spans="1:6" x14ac:dyDescent="0.15">
      <c r="E179" t="s">
        <v>971</v>
      </c>
      <c r="F179">
        <v>3</v>
      </c>
    </row>
    <row r="180" spans="1:6" x14ac:dyDescent="0.15">
      <c r="E180" t="s">
        <v>972</v>
      </c>
      <c r="F180">
        <v>9999</v>
      </c>
    </row>
    <row r="181" spans="1:6" x14ac:dyDescent="0.15">
      <c r="E181" t="s">
        <v>973</v>
      </c>
      <c r="F181" t="s">
        <v>974</v>
      </c>
    </row>
    <row r="182" spans="1:6" x14ac:dyDescent="0.15">
      <c r="E182" t="s">
        <v>975</v>
      </c>
      <c r="F182" t="s">
        <v>124</v>
      </c>
    </row>
    <row r="183" spans="1:6" x14ac:dyDescent="0.15">
      <c r="B183" t="s">
        <v>1047</v>
      </c>
      <c r="D183" t="s">
        <v>1048</v>
      </c>
      <c r="E183" t="s">
        <v>1025</v>
      </c>
      <c r="F183">
        <v>0</v>
      </c>
    </row>
    <row r="184" spans="1:6" x14ac:dyDescent="0.15">
      <c r="E184" t="s">
        <v>969</v>
      </c>
      <c r="F184">
        <v>1</v>
      </c>
    </row>
    <row r="185" spans="1:6" x14ac:dyDescent="0.15">
      <c r="E185" t="s">
        <v>970</v>
      </c>
      <c r="F185">
        <v>2</v>
      </c>
    </row>
    <row r="186" spans="1:6" x14ac:dyDescent="0.15">
      <c r="E186" t="s">
        <v>971</v>
      </c>
      <c r="F186">
        <v>3</v>
      </c>
    </row>
    <row r="187" spans="1:6" x14ac:dyDescent="0.15">
      <c r="E187" t="s">
        <v>972</v>
      </c>
      <c r="F187">
        <v>9999</v>
      </c>
    </row>
    <row r="188" spans="1:6" x14ac:dyDescent="0.15">
      <c r="E188" t="s">
        <v>973</v>
      </c>
      <c r="F188" t="s">
        <v>974</v>
      </c>
    </row>
    <row r="189" spans="1:6" x14ac:dyDescent="0.15">
      <c r="E189" t="s">
        <v>975</v>
      </c>
      <c r="F189" t="s">
        <v>124</v>
      </c>
    </row>
    <row r="190" spans="1:6" x14ac:dyDescent="0.15">
      <c r="A190" t="s">
        <v>1049</v>
      </c>
      <c r="B190" t="s">
        <v>1050</v>
      </c>
      <c r="D190" t="s">
        <v>1051</v>
      </c>
      <c r="E190" t="s">
        <v>1052</v>
      </c>
      <c r="F190">
        <v>1</v>
      </c>
    </row>
    <row r="191" spans="1:6" x14ac:dyDescent="0.15">
      <c r="E191" t="s">
        <v>1053</v>
      </c>
      <c r="F191">
        <v>2</v>
      </c>
    </row>
    <row r="192" spans="1:6" x14ac:dyDescent="0.15">
      <c r="E192" t="s">
        <v>1054</v>
      </c>
      <c r="F192">
        <v>3</v>
      </c>
    </row>
    <row r="193" spans="2:6" x14ac:dyDescent="0.15">
      <c r="E193" t="s">
        <v>1055</v>
      </c>
      <c r="F193">
        <v>4</v>
      </c>
    </row>
    <row r="194" spans="2:6" x14ac:dyDescent="0.15">
      <c r="E194" t="s">
        <v>1056</v>
      </c>
      <c r="F194">
        <v>5</v>
      </c>
    </row>
    <row r="195" spans="2:6" x14ac:dyDescent="0.15">
      <c r="E195" t="s">
        <v>1057</v>
      </c>
      <c r="F195">
        <v>6</v>
      </c>
    </row>
    <row r="196" spans="2:6" x14ac:dyDescent="0.15">
      <c r="E196" t="s">
        <v>1058</v>
      </c>
      <c r="F196">
        <v>7</v>
      </c>
    </row>
    <row r="197" spans="2:6" x14ac:dyDescent="0.15">
      <c r="E197" t="s">
        <v>1059</v>
      </c>
      <c r="F197">
        <v>9</v>
      </c>
    </row>
    <row r="198" spans="2:6" x14ac:dyDescent="0.15">
      <c r="E198" t="s">
        <v>972</v>
      </c>
      <c r="F198">
        <v>9999</v>
      </c>
    </row>
    <row r="199" spans="2:6" x14ac:dyDescent="0.15">
      <c r="E199" t="s">
        <v>973</v>
      </c>
      <c r="F199" t="s">
        <v>974</v>
      </c>
    </row>
    <row r="200" spans="2:6" x14ac:dyDescent="0.15">
      <c r="E200" t="s">
        <v>975</v>
      </c>
      <c r="F200" t="s">
        <v>124</v>
      </c>
    </row>
    <row r="201" spans="2:6" x14ac:dyDescent="0.15">
      <c r="B201" t="s">
        <v>1060</v>
      </c>
      <c r="D201" t="s">
        <v>1061</v>
      </c>
      <c r="E201" t="s">
        <v>1062</v>
      </c>
      <c r="F201">
        <v>1</v>
      </c>
    </row>
    <row r="202" spans="2:6" x14ac:dyDescent="0.15">
      <c r="E202" t="s">
        <v>1063</v>
      </c>
      <c r="F202">
        <v>2</v>
      </c>
    </row>
    <row r="203" spans="2:6" x14ac:dyDescent="0.15">
      <c r="E203" t="s">
        <v>1064</v>
      </c>
      <c r="F203">
        <v>3</v>
      </c>
    </row>
    <row r="204" spans="2:6" x14ac:dyDescent="0.15">
      <c r="E204" t="s">
        <v>1065</v>
      </c>
      <c r="F204">
        <v>4</v>
      </c>
    </row>
    <row r="205" spans="2:6" x14ac:dyDescent="0.15">
      <c r="E205" t="s">
        <v>1066</v>
      </c>
      <c r="F205">
        <v>5</v>
      </c>
    </row>
    <row r="206" spans="2:6" x14ac:dyDescent="0.15">
      <c r="E206" t="s">
        <v>1067</v>
      </c>
      <c r="F206">
        <v>6</v>
      </c>
    </row>
    <row r="207" spans="2:6" x14ac:dyDescent="0.15">
      <c r="E207" t="s">
        <v>1068</v>
      </c>
      <c r="F207">
        <v>7</v>
      </c>
    </row>
    <row r="208" spans="2:6" x14ac:dyDescent="0.15">
      <c r="E208" t="s">
        <v>1069</v>
      </c>
      <c r="F208">
        <v>9</v>
      </c>
    </row>
    <row r="209" spans="1:6" x14ac:dyDescent="0.15">
      <c r="E209" t="s">
        <v>972</v>
      </c>
      <c r="F209">
        <v>9999</v>
      </c>
    </row>
    <row r="210" spans="1:6" x14ac:dyDescent="0.15">
      <c r="E210" t="s">
        <v>973</v>
      </c>
      <c r="F210" t="s">
        <v>974</v>
      </c>
    </row>
    <row r="211" spans="1:6" x14ac:dyDescent="0.15">
      <c r="E211" t="s">
        <v>975</v>
      </c>
      <c r="F211" t="s">
        <v>124</v>
      </c>
    </row>
    <row r="212" spans="1:6" x14ac:dyDescent="0.15">
      <c r="A212" t="s">
        <v>1070</v>
      </c>
      <c r="B212" t="s">
        <v>1071</v>
      </c>
      <c r="D212" t="s">
        <v>1072</v>
      </c>
    </row>
    <row r="213" spans="1:6" x14ac:dyDescent="0.15">
      <c r="B213" t="s">
        <v>1073</v>
      </c>
      <c r="D213" t="s">
        <v>1074</v>
      </c>
      <c r="E213" t="s">
        <v>952</v>
      </c>
      <c r="F213">
        <v>1</v>
      </c>
    </row>
    <row r="214" spans="1:6" x14ac:dyDescent="0.15">
      <c r="E214" t="s">
        <v>955</v>
      </c>
      <c r="F214">
        <v>2</v>
      </c>
    </row>
    <row r="215" spans="1:6" x14ac:dyDescent="0.15">
      <c r="E215" t="s">
        <v>973</v>
      </c>
      <c r="F215" t="s">
        <v>974</v>
      </c>
    </row>
    <row r="216" spans="1:6" x14ac:dyDescent="0.15">
      <c r="E216" t="s">
        <v>975</v>
      </c>
      <c r="F216" t="s">
        <v>124</v>
      </c>
    </row>
    <row r="217" spans="1:6" x14ac:dyDescent="0.15">
      <c r="B217" t="s">
        <v>312</v>
      </c>
      <c r="D217" t="s">
        <v>1075</v>
      </c>
      <c r="E217" t="s">
        <v>1076</v>
      </c>
      <c r="F217">
        <v>1</v>
      </c>
    </row>
    <row r="218" spans="1:6" x14ac:dyDescent="0.15">
      <c r="E218" t="s">
        <v>1077</v>
      </c>
      <c r="F218">
        <v>2</v>
      </c>
    </row>
    <row r="219" spans="1:6" x14ac:dyDescent="0.15">
      <c r="E219" t="s">
        <v>1078</v>
      </c>
      <c r="F219">
        <v>3</v>
      </c>
    </row>
    <row r="220" spans="1:6" x14ac:dyDescent="0.15">
      <c r="E220" t="s">
        <v>973</v>
      </c>
      <c r="F220" t="s">
        <v>974</v>
      </c>
    </row>
    <row r="221" spans="1:6" x14ac:dyDescent="0.15">
      <c r="E221" t="s">
        <v>975</v>
      </c>
      <c r="F221" t="s">
        <v>124</v>
      </c>
    </row>
    <row r="222" spans="1:6" x14ac:dyDescent="0.15">
      <c r="B222" t="s">
        <v>313</v>
      </c>
      <c r="D222" t="s">
        <v>1079</v>
      </c>
    </row>
    <row r="223" spans="1:6" x14ac:dyDescent="0.15">
      <c r="B223" t="s">
        <v>314</v>
      </c>
      <c r="D223" t="s">
        <v>1080</v>
      </c>
    </row>
    <row r="224" spans="1:6" x14ac:dyDescent="0.15">
      <c r="B224" t="s">
        <v>315</v>
      </c>
      <c r="D224" t="s">
        <v>1081</v>
      </c>
    </row>
    <row r="225" spans="2:4" x14ac:dyDescent="0.15">
      <c r="B225" t="s">
        <v>316</v>
      </c>
      <c r="D225" t="s">
        <v>1082</v>
      </c>
    </row>
    <row r="226" spans="2:4" x14ac:dyDescent="0.15">
      <c r="B226" t="s">
        <v>317</v>
      </c>
      <c r="D226" t="s">
        <v>1083</v>
      </c>
    </row>
    <row r="227" spans="2:4" x14ac:dyDescent="0.15">
      <c r="B227" t="s">
        <v>318</v>
      </c>
      <c r="D227" t="s">
        <v>1084</v>
      </c>
    </row>
    <row r="228" spans="2:4" x14ac:dyDescent="0.15">
      <c r="B228" t="s">
        <v>319</v>
      </c>
      <c r="D228" t="s">
        <v>1085</v>
      </c>
    </row>
    <row r="229" spans="2:4" x14ac:dyDescent="0.15">
      <c r="B229" t="s">
        <v>320</v>
      </c>
      <c r="D229" t="s">
        <v>1086</v>
      </c>
    </row>
    <row r="230" spans="2:4" x14ac:dyDescent="0.15">
      <c r="B230" t="s">
        <v>321</v>
      </c>
      <c r="D230" t="s">
        <v>1087</v>
      </c>
    </row>
    <row r="231" spans="2:4" x14ac:dyDescent="0.15">
      <c r="B231" t="s">
        <v>322</v>
      </c>
      <c r="D231" t="s">
        <v>1088</v>
      </c>
    </row>
    <row r="232" spans="2:4" x14ac:dyDescent="0.15">
      <c r="B232" t="s">
        <v>323</v>
      </c>
      <c r="D232" t="s">
        <v>1089</v>
      </c>
    </row>
    <row r="233" spans="2:4" x14ac:dyDescent="0.15">
      <c r="B233" t="s">
        <v>324</v>
      </c>
      <c r="D233" t="s">
        <v>1090</v>
      </c>
    </row>
    <row r="234" spans="2:4" x14ac:dyDescent="0.15">
      <c r="B234" t="s">
        <v>325</v>
      </c>
      <c r="D234" t="s">
        <v>1091</v>
      </c>
    </row>
    <row r="235" spans="2:4" x14ac:dyDescent="0.15">
      <c r="B235" t="s">
        <v>326</v>
      </c>
      <c r="D235" t="s">
        <v>1092</v>
      </c>
    </row>
    <row r="236" spans="2:4" x14ac:dyDescent="0.15">
      <c r="B236" t="s">
        <v>327</v>
      </c>
      <c r="D236" t="s">
        <v>1093</v>
      </c>
    </row>
    <row r="237" spans="2:4" x14ac:dyDescent="0.15">
      <c r="B237" t="s">
        <v>328</v>
      </c>
      <c r="D237" t="s">
        <v>1094</v>
      </c>
    </row>
    <row r="238" spans="2:4" x14ac:dyDescent="0.15">
      <c r="B238" t="s">
        <v>329</v>
      </c>
      <c r="D238" t="s">
        <v>1095</v>
      </c>
    </row>
    <row r="239" spans="2:4" x14ac:dyDescent="0.15">
      <c r="B239" t="s">
        <v>330</v>
      </c>
      <c r="D239" t="s">
        <v>1096</v>
      </c>
    </row>
    <row r="240" spans="2:4" x14ac:dyDescent="0.15">
      <c r="B240" t="s">
        <v>331</v>
      </c>
      <c r="D240" t="s">
        <v>1097</v>
      </c>
    </row>
    <row r="241" spans="2:4" x14ac:dyDescent="0.15">
      <c r="B241" t="s">
        <v>332</v>
      </c>
      <c r="D241" t="s">
        <v>1098</v>
      </c>
    </row>
    <row r="242" spans="2:4" x14ac:dyDescent="0.15">
      <c r="B242" t="s">
        <v>333</v>
      </c>
      <c r="D242" t="s">
        <v>1099</v>
      </c>
    </row>
    <row r="243" spans="2:4" x14ac:dyDescent="0.15">
      <c r="B243" t="s">
        <v>334</v>
      </c>
      <c r="D243" t="s">
        <v>1100</v>
      </c>
    </row>
    <row r="244" spans="2:4" x14ac:dyDescent="0.15">
      <c r="B244" t="s">
        <v>335</v>
      </c>
      <c r="D244" t="s">
        <v>1101</v>
      </c>
    </row>
    <row r="245" spans="2:4" x14ac:dyDescent="0.15">
      <c r="B245" t="s">
        <v>336</v>
      </c>
      <c r="D245" t="s">
        <v>1102</v>
      </c>
    </row>
    <row r="246" spans="2:4" x14ac:dyDescent="0.15">
      <c r="B246" t="s">
        <v>337</v>
      </c>
      <c r="D246" t="s">
        <v>1103</v>
      </c>
    </row>
    <row r="247" spans="2:4" x14ac:dyDescent="0.15">
      <c r="B247" t="s">
        <v>338</v>
      </c>
      <c r="D247" t="s">
        <v>1104</v>
      </c>
    </row>
    <row r="248" spans="2:4" x14ac:dyDescent="0.15">
      <c r="B248" t="s">
        <v>339</v>
      </c>
      <c r="D248" t="s">
        <v>1105</v>
      </c>
    </row>
    <row r="249" spans="2:4" x14ac:dyDescent="0.15">
      <c r="B249" t="s">
        <v>340</v>
      </c>
      <c r="D249" t="s">
        <v>1106</v>
      </c>
    </row>
    <row r="250" spans="2:4" x14ac:dyDescent="0.15">
      <c r="B250" t="s">
        <v>341</v>
      </c>
      <c r="D250" t="s">
        <v>1107</v>
      </c>
    </row>
    <row r="251" spans="2:4" x14ac:dyDescent="0.15">
      <c r="B251" t="s">
        <v>342</v>
      </c>
      <c r="D251" t="s">
        <v>1108</v>
      </c>
    </row>
    <row r="252" spans="2:4" x14ac:dyDescent="0.15">
      <c r="B252" t="s">
        <v>343</v>
      </c>
      <c r="D252" t="s">
        <v>1109</v>
      </c>
    </row>
    <row r="253" spans="2:4" x14ac:dyDescent="0.15">
      <c r="B253" t="s">
        <v>344</v>
      </c>
      <c r="D253" t="s">
        <v>1110</v>
      </c>
    </row>
    <row r="254" spans="2:4" x14ac:dyDescent="0.15">
      <c r="B254" t="s">
        <v>345</v>
      </c>
      <c r="D254" t="s">
        <v>1111</v>
      </c>
    </row>
    <row r="255" spans="2:4" x14ac:dyDescent="0.15">
      <c r="B255" t="s">
        <v>346</v>
      </c>
      <c r="D255" t="s">
        <v>1112</v>
      </c>
    </row>
    <row r="256" spans="2:4" x14ac:dyDescent="0.15">
      <c r="B256" t="s">
        <v>347</v>
      </c>
      <c r="D256" t="s">
        <v>1113</v>
      </c>
    </row>
    <row r="257" spans="2:4" x14ac:dyDescent="0.15">
      <c r="B257" t="s">
        <v>348</v>
      </c>
      <c r="D257" t="s">
        <v>1114</v>
      </c>
    </row>
    <row r="258" spans="2:4" x14ac:dyDescent="0.15">
      <c r="B258" t="s">
        <v>349</v>
      </c>
      <c r="D258" t="s">
        <v>1115</v>
      </c>
    </row>
    <row r="259" spans="2:4" x14ac:dyDescent="0.15">
      <c r="B259" t="s">
        <v>350</v>
      </c>
      <c r="D259" t="s">
        <v>1116</v>
      </c>
    </row>
    <row r="260" spans="2:4" x14ac:dyDescent="0.15">
      <c r="B260" t="s">
        <v>351</v>
      </c>
      <c r="D260" t="s">
        <v>1117</v>
      </c>
    </row>
    <row r="261" spans="2:4" x14ac:dyDescent="0.15">
      <c r="B261" t="s">
        <v>352</v>
      </c>
      <c r="D261" t="s">
        <v>1118</v>
      </c>
    </row>
    <row r="262" spans="2:4" x14ac:dyDescent="0.15">
      <c r="B262" t="s">
        <v>353</v>
      </c>
      <c r="D262" t="s">
        <v>1119</v>
      </c>
    </row>
    <row r="263" spans="2:4" x14ac:dyDescent="0.15">
      <c r="B263" t="s">
        <v>354</v>
      </c>
      <c r="D263" t="s">
        <v>1120</v>
      </c>
    </row>
    <row r="264" spans="2:4" x14ac:dyDescent="0.15">
      <c r="B264" t="s">
        <v>355</v>
      </c>
      <c r="D264" t="s">
        <v>1121</v>
      </c>
    </row>
    <row r="265" spans="2:4" x14ac:dyDescent="0.15">
      <c r="B265" t="s">
        <v>356</v>
      </c>
      <c r="D265" t="s">
        <v>1122</v>
      </c>
    </row>
    <row r="266" spans="2:4" x14ac:dyDescent="0.15">
      <c r="B266" t="s">
        <v>357</v>
      </c>
      <c r="D266" t="s">
        <v>1123</v>
      </c>
    </row>
    <row r="267" spans="2:4" x14ac:dyDescent="0.15">
      <c r="B267" t="s">
        <v>358</v>
      </c>
      <c r="D267" t="s">
        <v>1124</v>
      </c>
    </row>
    <row r="268" spans="2:4" x14ac:dyDescent="0.15">
      <c r="B268" t="s">
        <v>359</v>
      </c>
      <c r="D268" t="s">
        <v>1125</v>
      </c>
    </row>
    <row r="269" spans="2:4" x14ac:dyDescent="0.15">
      <c r="B269" t="s">
        <v>360</v>
      </c>
      <c r="D269" t="s">
        <v>1126</v>
      </c>
    </row>
    <row r="270" spans="2:4" x14ac:dyDescent="0.15">
      <c r="B270" t="s">
        <v>361</v>
      </c>
      <c r="D270" t="s">
        <v>1127</v>
      </c>
    </row>
    <row r="271" spans="2:4" x14ac:dyDescent="0.15">
      <c r="B271" t="s">
        <v>362</v>
      </c>
      <c r="D271" t="s">
        <v>1128</v>
      </c>
    </row>
    <row r="272" spans="2:4" x14ac:dyDescent="0.15">
      <c r="B272" t="s">
        <v>363</v>
      </c>
      <c r="D272" t="s">
        <v>1129</v>
      </c>
    </row>
    <row r="273" spans="2:4" x14ac:dyDescent="0.15">
      <c r="B273" t="s">
        <v>364</v>
      </c>
      <c r="D273" t="s">
        <v>1130</v>
      </c>
    </row>
    <row r="274" spans="2:4" x14ac:dyDescent="0.15">
      <c r="B274" t="s">
        <v>365</v>
      </c>
      <c r="D274" t="s">
        <v>1131</v>
      </c>
    </row>
    <row r="275" spans="2:4" x14ac:dyDescent="0.15">
      <c r="B275" t="s">
        <v>366</v>
      </c>
      <c r="D275" t="s">
        <v>1132</v>
      </c>
    </row>
    <row r="276" spans="2:4" x14ac:dyDescent="0.15">
      <c r="B276" t="s">
        <v>367</v>
      </c>
      <c r="D276" t="s">
        <v>1133</v>
      </c>
    </row>
    <row r="277" spans="2:4" x14ac:dyDescent="0.15">
      <c r="B277" t="s">
        <v>368</v>
      </c>
      <c r="D277" t="s">
        <v>1134</v>
      </c>
    </row>
    <row r="278" spans="2:4" x14ac:dyDescent="0.15">
      <c r="B278" t="s">
        <v>369</v>
      </c>
      <c r="D278" t="s">
        <v>1135</v>
      </c>
    </row>
    <row r="279" spans="2:4" x14ac:dyDescent="0.15">
      <c r="B279" t="s">
        <v>370</v>
      </c>
      <c r="D279" t="s">
        <v>1136</v>
      </c>
    </row>
    <row r="280" spans="2:4" x14ac:dyDescent="0.15">
      <c r="B280" t="s">
        <v>371</v>
      </c>
      <c r="D280" t="s">
        <v>1137</v>
      </c>
    </row>
    <row r="281" spans="2:4" x14ac:dyDescent="0.15">
      <c r="B281" t="s">
        <v>372</v>
      </c>
      <c r="D281" t="s">
        <v>1138</v>
      </c>
    </row>
    <row r="282" spans="2:4" x14ac:dyDescent="0.15">
      <c r="B282" t="s">
        <v>373</v>
      </c>
      <c r="D282" t="s">
        <v>1139</v>
      </c>
    </row>
    <row r="283" spans="2:4" x14ac:dyDescent="0.15">
      <c r="B283" t="s">
        <v>374</v>
      </c>
      <c r="D283" t="s">
        <v>1140</v>
      </c>
    </row>
    <row r="284" spans="2:4" x14ac:dyDescent="0.15">
      <c r="B284" t="s">
        <v>375</v>
      </c>
      <c r="D284" t="s">
        <v>1141</v>
      </c>
    </row>
    <row r="285" spans="2:4" x14ac:dyDescent="0.15">
      <c r="B285" t="s">
        <v>376</v>
      </c>
      <c r="D285" t="s">
        <v>1142</v>
      </c>
    </row>
    <row r="286" spans="2:4" x14ac:dyDescent="0.15">
      <c r="B286" t="s">
        <v>377</v>
      </c>
      <c r="D286" t="s">
        <v>1143</v>
      </c>
    </row>
    <row r="287" spans="2:4" x14ac:dyDescent="0.15">
      <c r="B287" t="s">
        <v>378</v>
      </c>
      <c r="D287" t="s">
        <v>1144</v>
      </c>
    </row>
    <row r="288" spans="2:4" x14ac:dyDescent="0.15">
      <c r="B288" t="s">
        <v>379</v>
      </c>
      <c r="D288" t="s">
        <v>1145</v>
      </c>
    </row>
    <row r="289" spans="2:4" x14ac:dyDescent="0.15">
      <c r="B289" t="s">
        <v>380</v>
      </c>
      <c r="D289" t="s">
        <v>1146</v>
      </c>
    </row>
    <row r="290" spans="2:4" x14ac:dyDescent="0.15">
      <c r="B290" t="s">
        <v>381</v>
      </c>
      <c r="D290" t="s">
        <v>1147</v>
      </c>
    </row>
    <row r="291" spans="2:4" x14ac:dyDescent="0.15">
      <c r="B291" t="s">
        <v>382</v>
      </c>
      <c r="D291" t="s">
        <v>1148</v>
      </c>
    </row>
    <row r="292" spans="2:4" x14ac:dyDescent="0.15">
      <c r="B292" t="s">
        <v>383</v>
      </c>
      <c r="D292" t="s">
        <v>1149</v>
      </c>
    </row>
    <row r="293" spans="2:4" x14ac:dyDescent="0.15">
      <c r="B293" t="s">
        <v>384</v>
      </c>
      <c r="D293" t="s">
        <v>1150</v>
      </c>
    </row>
    <row r="294" spans="2:4" x14ac:dyDescent="0.15">
      <c r="B294" t="s">
        <v>385</v>
      </c>
      <c r="D294" t="s">
        <v>1151</v>
      </c>
    </row>
    <row r="295" spans="2:4" x14ac:dyDescent="0.15">
      <c r="B295" t="s">
        <v>386</v>
      </c>
      <c r="D295" t="s">
        <v>1152</v>
      </c>
    </row>
    <row r="296" spans="2:4" x14ac:dyDescent="0.15">
      <c r="B296" t="s">
        <v>387</v>
      </c>
      <c r="D296" t="s">
        <v>1153</v>
      </c>
    </row>
    <row r="297" spans="2:4" x14ac:dyDescent="0.15">
      <c r="B297" t="s">
        <v>388</v>
      </c>
      <c r="D297" t="s">
        <v>1154</v>
      </c>
    </row>
    <row r="298" spans="2:4" x14ac:dyDescent="0.15">
      <c r="B298" t="s">
        <v>389</v>
      </c>
      <c r="D298" t="s">
        <v>1155</v>
      </c>
    </row>
    <row r="299" spans="2:4" x14ac:dyDescent="0.15">
      <c r="B299" t="s">
        <v>390</v>
      </c>
      <c r="D299" t="s">
        <v>1156</v>
      </c>
    </row>
    <row r="300" spans="2:4" x14ac:dyDescent="0.15">
      <c r="B300" t="s">
        <v>391</v>
      </c>
      <c r="D300" t="s">
        <v>1157</v>
      </c>
    </row>
    <row r="301" spans="2:4" x14ac:dyDescent="0.15">
      <c r="B301" t="s">
        <v>392</v>
      </c>
      <c r="D301" t="s">
        <v>1158</v>
      </c>
    </row>
    <row r="302" spans="2:4" x14ac:dyDescent="0.15">
      <c r="B302" t="s">
        <v>393</v>
      </c>
      <c r="D302" t="s">
        <v>1159</v>
      </c>
    </row>
    <row r="303" spans="2:4" x14ac:dyDescent="0.15">
      <c r="B303" t="s">
        <v>394</v>
      </c>
      <c r="D303" t="s">
        <v>1160</v>
      </c>
    </row>
    <row r="304" spans="2:4" x14ac:dyDescent="0.15">
      <c r="B304" t="s">
        <v>395</v>
      </c>
      <c r="D304" t="s">
        <v>1161</v>
      </c>
    </row>
    <row r="305" spans="2:4" x14ac:dyDescent="0.15">
      <c r="B305" t="s">
        <v>396</v>
      </c>
      <c r="D305" t="s">
        <v>1162</v>
      </c>
    </row>
    <row r="306" spans="2:4" x14ac:dyDescent="0.15">
      <c r="B306" t="s">
        <v>397</v>
      </c>
      <c r="D306" t="s">
        <v>1163</v>
      </c>
    </row>
    <row r="307" spans="2:4" x14ac:dyDescent="0.15">
      <c r="B307" t="s">
        <v>398</v>
      </c>
      <c r="D307" t="s">
        <v>1164</v>
      </c>
    </row>
    <row r="308" spans="2:4" x14ac:dyDescent="0.15">
      <c r="B308" t="s">
        <v>399</v>
      </c>
      <c r="D308" t="s">
        <v>1165</v>
      </c>
    </row>
    <row r="309" spans="2:4" x14ac:dyDescent="0.15">
      <c r="B309" t="s">
        <v>400</v>
      </c>
      <c r="D309" t="s">
        <v>1166</v>
      </c>
    </row>
    <row r="310" spans="2:4" x14ac:dyDescent="0.15">
      <c r="B310" t="s">
        <v>401</v>
      </c>
      <c r="D310" t="s">
        <v>1167</v>
      </c>
    </row>
    <row r="311" spans="2:4" x14ac:dyDescent="0.15">
      <c r="B311" t="s">
        <v>402</v>
      </c>
      <c r="D311" t="s">
        <v>1168</v>
      </c>
    </row>
    <row r="312" spans="2:4" x14ac:dyDescent="0.15">
      <c r="B312" t="s">
        <v>403</v>
      </c>
      <c r="D312" t="s">
        <v>1169</v>
      </c>
    </row>
    <row r="313" spans="2:4" x14ac:dyDescent="0.15">
      <c r="B313" t="s">
        <v>404</v>
      </c>
      <c r="D313" t="s">
        <v>1170</v>
      </c>
    </row>
    <row r="314" spans="2:4" x14ac:dyDescent="0.15">
      <c r="B314" t="s">
        <v>405</v>
      </c>
      <c r="D314" t="s">
        <v>1171</v>
      </c>
    </row>
    <row r="315" spans="2:4" x14ac:dyDescent="0.15">
      <c r="B315" t="s">
        <v>406</v>
      </c>
      <c r="D315" t="s">
        <v>1172</v>
      </c>
    </row>
    <row r="316" spans="2:4" x14ac:dyDescent="0.15">
      <c r="B316" t="s">
        <v>407</v>
      </c>
      <c r="D316" t="s">
        <v>1173</v>
      </c>
    </row>
    <row r="317" spans="2:4" x14ac:dyDescent="0.15">
      <c r="B317" t="s">
        <v>408</v>
      </c>
      <c r="D317" t="s">
        <v>1174</v>
      </c>
    </row>
    <row r="318" spans="2:4" x14ac:dyDescent="0.15">
      <c r="B318" t="s">
        <v>409</v>
      </c>
      <c r="D318" t="s">
        <v>1175</v>
      </c>
    </row>
    <row r="319" spans="2:4" x14ac:dyDescent="0.15">
      <c r="B319" t="s">
        <v>410</v>
      </c>
      <c r="D319" t="s">
        <v>1176</v>
      </c>
    </row>
    <row r="320" spans="2:4" x14ac:dyDescent="0.15">
      <c r="B320" t="s">
        <v>411</v>
      </c>
      <c r="D320" t="s">
        <v>1177</v>
      </c>
    </row>
    <row r="321" spans="1:6" x14ac:dyDescent="0.15">
      <c r="B321" t="s">
        <v>412</v>
      </c>
      <c r="D321" t="s">
        <v>1178</v>
      </c>
    </row>
    <row r="322" spans="1:6" x14ac:dyDescent="0.15">
      <c r="B322" t="s">
        <v>413</v>
      </c>
      <c r="D322" t="s">
        <v>1179</v>
      </c>
    </row>
    <row r="323" spans="1:6" x14ac:dyDescent="0.15">
      <c r="B323" t="s">
        <v>414</v>
      </c>
      <c r="D323" t="s">
        <v>1180</v>
      </c>
      <c r="E323" t="s">
        <v>1181</v>
      </c>
      <c r="F323">
        <v>0</v>
      </c>
    </row>
    <row r="324" spans="1:6" x14ac:dyDescent="0.15">
      <c r="E324" t="s">
        <v>1182</v>
      </c>
      <c r="F324">
        <v>1</v>
      </c>
    </row>
    <row r="325" spans="1:6" x14ac:dyDescent="0.15">
      <c r="E325" t="s">
        <v>973</v>
      </c>
      <c r="F325" t="s">
        <v>974</v>
      </c>
    </row>
    <row r="326" spans="1:6" x14ac:dyDescent="0.15">
      <c r="E326" t="s">
        <v>975</v>
      </c>
      <c r="F326" t="s">
        <v>124</v>
      </c>
    </row>
    <row r="327" spans="1:6" x14ac:dyDescent="0.15">
      <c r="A327" t="s">
        <v>1183</v>
      </c>
      <c r="B327" t="s">
        <v>1184</v>
      </c>
      <c r="D327" t="s">
        <v>1185</v>
      </c>
      <c r="E327" t="s">
        <v>1186</v>
      </c>
      <c r="F327">
        <v>0</v>
      </c>
    </row>
    <row r="328" spans="1:6" x14ac:dyDescent="0.15">
      <c r="E328" t="s">
        <v>1187</v>
      </c>
      <c r="F328">
        <v>1</v>
      </c>
    </row>
    <row r="329" spans="1:6" x14ac:dyDescent="0.15">
      <c r="E329" t="s">
        <v>1188</v>
      </c>
      <c r="F329">
        <v>2</v>
      </c>
    </row>
    <row r="330" spans="1:6" x14ac:dyDescent="0.15">
      <c r="E330" t="s">
        <v>1189</v>
      </c>
      <c r="F330">
        <v>3</v>
      </c>
    </row>
    <row r="331" spans="1:6" x14ac:dyDescent="0.15">
      <c r="E331" t="s">
        <v>972</v>
      </c>
      <c r="F331">
        <v>9999</v>
      </c>
    </row>
    <row r="332" spans="1:6" x14ac:dyDescent="0.15">
      <c r="E332" t="s">
        <v>973</v>
      </c>
      <c r="F332" t="s">
        <v>974</v>
      </c>
    </row>
    <row r="333" spans="1:6" x14ac:dyDescent="0.15">
      <c r="E333" t="s">
        <v>975</v>
      </c>
      <c r="F333" t="s">
        <v>124</v>
      </c>
    </row>
    <row r="334" spans="1:6" x14ac:dyDescent="0.15">
      <c r="B334" t="s">
        <v>1190</v>
      </c>
      <c r="D334" t="s">
        <v>1191</v>
      </c>
      <c r="E334" t="s">
        <v>1186</v>
      </c>
      <c r="F334">
        <v>0</v>
      </c>
    </row>
    <row r="335" spans="1:6" x14ac:dyDescent="0.15">
      <c r="E335" t="s">
        <v>1187</v>
      </c>
      <c r="F335">
        <v>1</v>
      </c>
    </row>
    <row r="336" spans="1:6" x14ac:dyDescent="0.15">
      <c r="E336" t="s">
        <v>1188</v>
      </c>
      <c r="F336">
        <v>2</v>
      </c>
    </row>
    <row r="337" spans="2:6" x14ac:dyDescent="0.15">
      <c r="E337" t="s">
        <v>1189</v>
      </c>
      <c r="F337">
        <v>3</v>
      </c>
    </row>
    <row r="338" spans="2:6" x14ac:dyDescent="0.15">
      <c r="E338" t="s">
        <v>972</v>
      </c>
      <c r="F338">
        <v>9999</v>
      </c>
    </row>
    <row r="339" spans="2:6" x14ac:dyDescent="0.15">
      <c r="E339" t="s">
        <v>973</v>
      </c>
      <c r="F339" t="s">
        <v>974</v>
      </c>
    </row>
    <row r="340" spans="2:6" x14ac:dyDescent="0.15">
      <c r="E340" t="s">
        <v>975</v>
      </c>
      <c r="F340" t="s">
        <v>124</v>
      </c>
    </row>
    <row r="341" spans="2:6" x14ac:dyDescent="0.15">
      <c r="B341" t="s">
        <v>1192</v>
      </c>
      <c r="D341" t="s">
        <v>1193</v>
      </c>
      <c r="E341" t="s">
        <v>1186</v>
      </c>
      <c r="F341">
        <v>0</v>
      </c>
    </row>
    <row r="342" spans="2:6" x14ac:dyDescent="0.15">
      <c r="E342" t="s">
        <v>1187</v>
      </c>
      <c r="F342">
        <v>1</v>
      </c>
    </row>
    <row r="343" spans="2:6" x14ac:dyDescent="0.15">
      <c r="E343" t="s">
        <v>1188</v>
      </c>
      <c r="F343">
        <v>2</v>
      </c>
    </row>
    <row r="344" spans="2:6" x14ac:dyDescent="0.15">
      <c r="E344" t="s">
        <v>1189</v>
      </c>
      <c r="F344">
        <v>3</v>
      </c>
    </row>
    <row r="345" spans="2:6" x14ac:dyDescent="0.15">
      <c r="E345" t="s">
        <v>972</v>
      </c>
      <c r="F345">
        <v>9999</v>
      </c>
    </row>
    <row r="346" spans="2:6" x14ac:dyDescent="0.15">
      <c r="E346" t="s">
        <v>973</v>
      </c>
      <c r="F346" t="s">
        <v>974</v>
      </c>
    </row>
    <row r="347" spans="2:6" x14ac:dyDescent="0.15">
      <c r="E347" t="s">
        <v>975</v>
      </c>
      <c r="F347" t="s">
        <v>124</v>
      </c>
    </row>
    <row r="348" spans="2:6" x14ac:dyDescent="0.15">
      <c r="B348" t="s">
        <v>1194</v>
      </c>
      <c r="D348" t="s">
        <v>1195</v>
      </c>
      <c r="E348" t="s">
        <v>1186</v>
      </c>
      <c r="F348">
        <v>0</v>
      </c>
    </row>
    <row r="349" spans="2:6" x14ac:dyDescent="0.15">
      <c r="E349" t="s">
        <v>1187</v>
      </c>
      <c r="F349">
        <v>1</v>
      </c>
    </row>
    <row r="350" spans="2:6" x14ac:dyDescent="0.15">
      <c r="E350" t="s">
        <v>1188</v>
      </c>
      <c r="F350">
        <v>2</v>
      </c>
    </row>
    <row r="351" spans="2:6" x14ac:dyDescent="0.15">
      <c r="E351" t="s">
        <v>1189</v>
      </c>
      <c r="F351">
        <v>3</v>
      </c>
    </row>
    <row r="352" spans="2:6" x14ac:dyDescent="0.15">
      <c r="E352" t="s">
        <v>972</v>
      </c>
      <c r="F352">
        <v>9999</v>
      </c>
    </row>
    <row r="353" spans="2:6" x14ac:dyDescent="0.15">
      <c r="E353" t="s">
        <v>973</v>
      </c>
      <c r="F353" t="s">
        <v>974</v>
      </c>
    </row>
    <row r="354" spans="2:6" x14ac:dyDescent="0.15">
      <c r="E354" t="s">
        <v>975</v>
      </c>
      <c r="F354" t="s">
        <v>124</v>
      </c>
    </row>
    <row r="355" spans="2:6" x14ac:dyDescent="0.15">
      <c r="B355" t="s">
        <v>1196</v>
      </c>
      <c r="D355" t="s">
        <v>1197</v>
      </c>
      <c r="E355" t="s">
        <v>1186</v>
      </c>
      <c r="F355">
        <v>0</v>
      </c>
    </row>
    <row r="356" spans="2:6" x14ac:dyDescent="0.15">
      <c r="E356" t="s">
        <v>1187</v>
      </c>
      <c r="F356">
        <v>1</v>
      </c>
    </row>
    <row r="357" spans="2:6" x14ac:dyDescent="0.15">
      <c r="E357" t="s">
        <v>1188</v>
      </c>
      <c r="F357">
        <v>2</v>
      </c>
    </row>
    <row r="358" spans="2:6" x14ac:dyDescent="0.15">
      <c r="E358" t="s">
        <v>1189</v>
      </c>
      <c r="F358">
        <v>3</v>
      </c>
    </row>
    <row r="359" spans="2:6" x14ac:dyDescent="0.15">
      <c r="E359" t="s">
        <v>972</v>
      </c>
      <c r="F359">
        <v>9999</v>
      </c>
    </row>
    <row r="360" spans="2:6" x14ac:dyDescent="0.15">
      <c r="E360" t="s">
        <v>973</v>
      </c>
      <c r="F360" t="s">
        <v>974</v>
      </c>
    </row>
    <row r="361" spans="2:6" x14ac:dyDescent="0.15">
      <c r="E361" t="s">
        <v>975</v>
      </c>
      <c r="F361" t="s">
        <v>124</v>
      </c>
    </row>
    <row r="362" spans="2:6" x14ac:dyDescent="0.15">
      <c r="B362" t="s">
        <v>1198</v>
      </c>
      <c r="D362" t="s">
        <v>1199</v>
      </c>
      <c r="E362" t="s">
        <v>1186</v>
      </c>
      <c r="F362">
        <v>0</v>
      </c>
    </row>
    <row r="363" spans="2:6" x14ac:dyDescent="0.15">
      <c r="E363" t="s">
        <v>1187</v>
      </c>
      <c r="F363">
        <v>1</v>
      </c>
    </row>
    <row r="364" spans="2:6" x14ac:dyDescent="0.15">
      <c r="E364" t="s">
        <v>1188</v>
      </c>
      <c r="F364">
        <v>2</v>
      </c>
    </row>
    <row r="365" spans="2:6" x14ac:dyDescent="0.15">
      <c r="E365" t="s">
        <v>1189</v>
      </c>
      <c r="F365">
        <v>3</v>
      </c>
    </row>
    <row r="366" spans="2:6" x14ac:dyDescent="0.15">
      <c r="E366" t="s">
        <v>972</v>
      </c>
      <c r="F366">
        <v>9999</v>
      </c>
    </row>
    <row r="367" spans="2:6" x14ac:dyDescent="0.15">
      <c r="E367" t="s">
        <v>973</v>
      </c>
      <c r="F367" t="s">
        <v>974</v>
      </c>
    </row>
    <row r="368" spans="2:6" x14ac:dyDescent="0.15">
      <c r="E368" t="s">
        <v>975</v>
      </c>
      <c r="F368" t="s">
        <v>124</v>
      </c>
    </row>
    <row r="369" spans="2:6" x14ac:dyDescent="0.15">
      <c r="B369" t="s">
        <v>1200</v>
      </c>
      <c r="D369" t="s">
        <v>1201</v>
      </c>
      <c r="E369" t="s">
        <v>1186</v>
      </c>
      <c r="F369">
        <v>0</v>
      </c>
    </row>
    <row r="370" spans="2:6" x14ac:dyDescent="0.15">
      <c r="E370" t="s">
        <v>1187</v>
      </c>
      <c r="F370">
        <v>1</v>
      </c>
    </row>
    <row r="371" spans="2:6" x14ac:dyDescent="0.15">
      <c r="E371" t="s">
        <v>1188</v>
      </c>
      <c r="F371">
        <v>2</v>
      </c>
    </row>
    <row r="372" spans="2:6" x14ac:dyDescent="0.15">
      <c r="E372" t="s">
        <v>1189</v>
      </c>
      <c r="F372">
        <v>3</v>
      </c>
    </row>
    <row r="373" spans="2:6" x14ac:dyDescent="0.15">
      <c r="E373" t="s">
        <v>972</v>
      </c>
      <c r="F373">
        <v>9999</v>
      </c>
    </row>
    <row r="374" spans="2:6" x14ac:dyDescent="0.15">
      <c r="E374" t="s">
        <v>973</v>
      </c>
      <c r="F374" t="s">
        <v>974</v>
      </c>
    </row>
    <row r="375" spans="2:6" x14ac:dyDescent="0.15">
      <c r="E375" t="s">
        <v>975</v>
      </c>
      <c r="F375" t="s">
        <v>124</v>
      </c>
    </row>
    <row r="376" spans="2:6" x14ac:dyDescent="0.15">
      <c r="B376" t="s">
        <v>1202</v>
      </c>
      <c r="D376" t="s">
        <v>1203</v>
      </c>
      <c r="E376" t="s">
        <v>1186</v>
      </c>
      <c r="F376">
        <v>0</v>
      </c>
    </row>
    <row r="377" spans="2:6" x14ac:dyDescent="0.15">
      <c r="E377" t="s">
        <v>1187</v>
      </c>
      <c r="F377">
        <v>1</v>
      </c>
    </row>
    <row r="378" spans="2:6" x14ac:dyDescent="0.15">
      <c r="E378" t="s">
        <v>1188</v>
      </c>
      <c r="F378">
        <v>2</v>
      </c>
    </row>
    <row r="379" spans="2:6" x14ac:dyDescent="0.15">
      <c r="E379" t="s">
        <v>1189</v>
      </c>
      <c r="F379">
        <v>3</v>
      </c>
    </row>
    <row r="380" spans="2:6" x14ac:dyDescent="0.15">
      <c r="E380" t="s">
        <v>972</v>
      </c>
      <c r="F380">
        <v>9999</v>
      </c>
    </row>
    <row r="381" spans="2:6" x14ac:dyDescent="0.15">
      <c r="E381" t="s">
        <v>973</v>
      </c>
      <c r="F381" t="s">
        <v>974</v>
      </c>
    </row>
    <row r="382" spans="2:6" x14ac:dyDescent="0.15">
      <c r="E382" t="s">
        <v>975</v>
      </c>
      <c r="F382" t="s">
        <v>124</v>
      </c>
    </row>
    <row r="383" spans="2:6" x14ac:dyDescent="0.15">
      <c r="B383" t="s">
        <v>1204</v>
      </c>
      <c r="D383" t="s">
        <v>1205</v>
      </c>
      <c r="E383" t="s">
        <v>1186</v>
      </c>
      <c r="F383">
        <v>0</v>
      </c>
    </row>
    <row r="384" spans="2:6" x14ac:dyDescent="0.15">
      <c r="E384" t="s">
        <v>1187</v>
      </c>
      <c r="F384">
        <v>1</v>
      </c>
    </row>
    <row r="385" spans="2:6" x14ac:dyDescent="0.15">
      <c r="E385" t="s">
        <v>1188</v>
      </c>
      <c r="F385">
        <v>2</v>
      </c>
    </row>
    <row r="386" spans="2:6" x14ac:dyDescent="0.15">
      <c r="E386" t="s">
        <v>1189</v>
      </c>
      <c r="F386">
        <v>3</v>
      </c>
    </row>
    <row r="387" spans="2:6" x14ac:dyDescent="0.15">
      <c r="E387" t="s">
        <v>972</v>
      </c>
      <c r="F387">
        <v>9999</v>
      </c>
    </row>
    <row r="388" spans="2:6" x14ac:dyDescent="0.15">
      <c r="E388" t="s">
        <v>973</v>
      </c>
      <c r="F388" t="s">
        <v>974</v>
      </c>
    </row>
    <row r="389" spans="2:6" x14ac:dyDescent="0.15">
      <c r="E389" t="s">
        <v>975</v>
      </c>
      <c r="F389" t="s">
        <v>124</v>
      </c>
    </row>
    <row r="390" spans="2:6" x14ac:dyDescent="0.15">
      <c r="B390" t="s">
        <v>1206</v>
      </c>
      <c r="D390" t="s">
        <v>1207</v>
      </c>
      <c r="E390" t="s">
        <v>1186</v>
      </c>
      <c r="F390">
        <v>0</v>
      </c>
    </row>
    <row r="391" spans="2:6" x14ac:dyDescent="0.15">
      <c r="E391" t="s">
        <v>1187</v>
      </c>
      <c r="F391">
        <v>1</v>
      </c>
    </row>
    <row r="392" spans="2:6" x14ac:dyDescent="0.15">
      <c r="E392" t="s">
        <v>1188</v>
      </c>
      <c r="F392">
        <v>2</v>
      </c>
    </row>
    <row r="393" spans="2:6" x14ac:dyDescent="0.15">
      <c r="E393" t="s">
        <v>1189</v>
      </c>
      <c r="F393">
        <v>3</v>
      </c>
    </row>
    <row r="394" spans="2:6" x14ac:dyDescent="0.15">
      <c r="E394" t="s">
        <v>972</v>
      </c>
      <c r="F394">
        <v>9999</v>
      </c>
    </row>
    <row r="395" spans="2:6" x14ac:dyDescent="0.15">
      <c r="E395" t="s">
        <v>973</v>
      </c>
      <c r="F395" t="s">
        <v>974</v>
      </c>
    </row>
    <row r="396" spans="2:6" x14ac:dyDescent="0.15">
      <c r="E396" t="s">
        <v>975</v>
      </c>
      <c r="F396" t="s">
        <v>124</v>
      </c>
    </row>
    <row r="397" spans="2:6" x14ac:dyDescent="0.15">
      <c r="B397" t="s">
        <v>1208</v>
      </c>
      <c r="D397" t="s">
        <v>1209</v>
      </c>
      <c r="E397" t="s">
        <v>1186</v>
      </c>
      <c r="F397">
        <v>0</v>
      </c>
    </row>
    <row r="398" spans="2:6" x14ac:dyDescent="0.15">
      <c r="E398" t="s">
        <v>1187</v>
      </c>
      <c r="F398">
        <v>1</v>
      </c>
    </row>
    <row r="399" spans="2:6" x14ac:dyDescent="0.15">
      <c r="E399" t="s">
        <v>1188</v>
      </c>
      <c r="F399">
        <v>2</v>
      </c>
    </row>
    <row r="400" spans="2:6" x14ac:dyDescent="0.15">
      <c r="E400" t="s">
        <v>1189</v>
      </c>
      <c r="F400">
        <v>3</v>
      </c>
    </row>
    <row r="401" spans="2:6" x14ac:dyDescent="0.15">
      <c r="E401" t="s">
        <v>972</v>
      </c>
      <c r="F401">
        <v>9999</v>
      </c>
    </row>
    <row r="402" spans="2:6" x14ac:dyDescent="0.15">
      <c r="E402" t="s">
        <v>973</v>
      </c>
      <c r="F402" t="s">
        <v>974</v>
      </c>
    </row>
    <row r="403" spans="2:6" x14ac:dyDescent="0.15">
      <c r="E403" t="s">
        <v>975</v>
      </c>
      <c r="F403" t="s">
        <v>124</v>
      </c>
    </row>
    <row r="404" spans="2:6" x14ac:dyDescent="0.15">
      <c r="B404" t="s">
        <v>1210</v>
      </c>
      <c r="D404" t="s">
        <v>1211</v>
      </c>
      <c r="E404" t="s">
        <v>1186</v>
      </c>
      <c r="F404">
        <v>0</v>
      </c>
    </row>
    <row r="405" spans="2:6" x14ac:dyDescent="0.15">
      <c r="E405" t="s">
        <v>1187</v>
      </c>
      <c r="F405">
        <v>1</v>
      </c>
    </row>
    <row r="406" spans="2:6" x14ac:dyDescent="0.15">
      <c r="E406" t="s">
        <v>1188</v>
      </c>
      <c r="F406">
        <v>2</v>
      </c>
    </row>
    <row r="407" spans="2:6" x14ac:dyDescent="0.15">
      <c r="E407" t="s">
        <v>1189</v>
      </c>
      <c r="F407">
        <v>3</v>
      </c>
    </row>
    <row r="408" spans="2:6" x14ac:dyDescent="0.15">
      <c r="E408" t="s">
        <v>972</v>
      </c>
      <c r="F408">
        <v>9999</v>
      </c>
    </row>
    <row r="409" spans="2:6" x14ac:dyDescent="0.15">
      <c r="E409" t="s">
        <v>973</v>
      </c>
      <c r="F409" t="s">
        <v>974</v>
      </c>
    </row>
    <row r="410" spans="2:6" x14ac:dyDescent="0.15">
      <c r="E410" t="s">
        <v>975</v>
      </c>
      <c r="F410" t="s">
        <v>124</v>
      </c>
    </row>
    <row r="411" spans="2:6" x14ac:dyDescent="0.15">
      <c r="B411" t="s">
        <v>1212</v>
      </c>
      <c r="D411" t="s">
        <v>1213</v>
      </c>
      <c r="E411" t="s">
        <v>1186</v>
      </c>
      <c r="F411">
        <v>0</v>
      </c>
    </row>
    <row r="412" spans="2:6" x14ac:dyDescent="0.15">
      <c r="E412" t="s">
        <v>1187</v>
      </c>
      <c r="F412">
        <v>1</v>
      </c>
    </row>
    <row r="413" spans="2:6" x14ac:dyDescent="0.15">
      <c r="E413" t="s">
        <v>1188</v>
      </c>
      <c r="F413">
        <v>2</v>
      </c>
    </row>
    <row r="414" spans="2:6" x14ac:dyDescent="0.15">
      <c r="E414" t="s">
        <v>1189</v>
      </c>
      <c r="F414">
        <v>3</v>
      </c>
    </row>
    <row r="415" spans="2:6" x14ac:dyDescent="0.15">
      <c r="E415" t="s">
        <v>972</v>
      </c>
      <c r="F415">
        <v>9999</v>
      </c>
    </row>
    <row r="416" spans="2:6" x14ac:dyDescent="0.15">
      <c r="E416" t="s">
        <v>973</v>
      </c>
      <c r="F416" t="s">
        <v>974</v>
      </c>
    </row>
    <row r="417" spans="2:6" x14ac:dyDescent="0.15">
      <c r="E417" t="s">
        <v>975</v>
      </c>
      <c r="F417" t="s">
        <v>124</v>
      </c>
    </row>
    <row r="418" spans="2:6" x14ac:dyDescent="0.15">
      <c r="B418" t="s">
        <v>1214</v>
      </c>
      <c r="D418" t="s">
        <v>1215</v>
      </c>
      <c r="E418" t="s">
        <v>1186</v>
      </c>
      <c r="F418">
        <v>0</v>
      </c>
    </row>
    <row r="419" spans="2:6" x14ac:dyDescent="0.15">
      <c r="E419" t="s">
        <v>1187</v>
      </c>
      <c r="F419">
        <v>1</v>
      </c>
    </row>
    <row r="420" spans="2:6" x14ac:dyDescent="0.15">
      <c r="E420" t="s">
        <v>1188</v>
      </c>
      <c r="F420">
        <v>2</v>
      </c>
    </row>
    <row r="421" spans="2:6" x14ac:dyDescent="0.15">
      <c r="E421" t="s">
        <v>1189</v>
      </c>
      <c r="F421">
        <v>3</v>
      </c>
    </row>
    <row r="422" spans="2:6" x14ac:dyDescent="0.15">
      <c r="E422" t="s">
        <v>972</v>
      </c>
      <c r="F422">
        <v>9999</v>
      </c>
    </row>
    <row r="423" spans="2:6" x14ac:dyDescent="0.15">
      <c r="E423" t="s">
        <v>973</v>
      </c>
      <c r="F423" t="s">
        <v>974</v>
      </c>
    </row>
    <row r="424" spans="2:6" x14ac:dyDescent="0.15">
      <c r="E424" t="s">
        <v>975</v>
      </c>
      <c r="F424" t="s">
        <v>124</v>
      </c>
    </row>
    <row r="425" spans="2:6" x14ac:dyDescent="0.15">
      <c r="B425" t="s">
        <v>1216</v>
      </c>
      <c r="D425" t="s">
        <v>1217</v>
      </c>
      <c r="E425" t="s">
        <v>1186</v>
      </c>
      <c r="F425">
        <v>0</v>
      </c>
    </row>
    <row r="426" spans="2:6" x14ac:dyDescent="0.15">
      <c r="E426" t="s">
        <v>1187</v>
      </c>
      <c r="F426">
        <v>1</v>
      </c>
    </row>
    <row r="427" spans="2:6" x14ac:dyDescent="0.15">
      <c r="E427" t="s">
        <v>1188</v>
      </c>
      <c r="F427">
        <v>2</v>
      </c>
    </row>
    <row r="428" spans="2:6" x14ac:dyDescent="0.15">
      <c r="E428" t="s">
        <v>1189</v>
      </c>
      <c r="F428">
        <v>3</v>
      </c>
    </row>
    <row r="429" spans="2:6" x14ac:dyDescent="0.15">
      <c r="E429" t="s">
        <v>972</v>
      </c>
      <c r="F429">
        <v>9999</v>
      </c>
    </row>
    <row r="430" spans="2:6" x14ac:dyDescent="0.15">
      <c r="E430" t="s">
        <v>973</v>
      </c>
      <c r="F430" t="s">
        <v>974</v>
      </c>
    </row>
    <row r="431" spans="2:6" x14ac:dyDescent="0.15">
      <c r="E431" t="s">
        <v>975</v>
      </c>
      <c r="F431" t="s">
        <v>124</v>
      </c>
    </row>
    <row r="432" spans="2:6" x14ac:dyDescent="0.15">
      <c r="B432" t="s">
        <v>1218</v>
      </c>
      <c r="D432" t="s">
        <v>1219</v>
      </c>
      <c r="E432" t="s">
        <v>1186</v>
      </c>
      <c r="F432">
        <v>0</v>
      </c>
    </row>
    <row r="433" spans="2:6" x14ac:dyDescent="0.15">
      <c r="E433" t="s">
        <v>1187</v>
      </c>
      <c r="F433">
        <v>1</v>
      </c>
    </row>
    <row r="434" spans="2:6" x14ac:dyDescent="0.15">
      <c r="E434" t="s">
        <v>1188</v>
      </c>
      <c r="F434">
        <v>2</v>
      </c>
    </row>
    <row r="435" spans="2:6" x14ac:dyDescent="0.15">
      <c r="E435" t="s">
        <v>1189</v>
      </c>
      <c r="F435">
        <v>3</v>
      </c>
    </row>
    <row r="436" spans="2:6" x14ac:dyDescent="0.15">
      <c r="E436" t="s">
        <v>972</v>
      </c>
      <c r="F436">
        <v>9999</v>
      </c>
    </row>
    <row r="437" spans="2:6" x14ac:dyDescent="0.15">
      <c r="E437" t="s">
        <v>973</v>
      </c>
      <c r="F437" t="s">
        <v>974</v>
      </c>
    </row>
    <row r="438" spans="2:6" x14ac:dyDescent="0.15">
      <c r="E438" t="s">
        <v>975</v>
      </c>
      <c r="F438" t="s">
        <v>124</v>
      </c>
    </row>
    <row r="439" spans="2:6" x14ac:dyDescent="0.15">
      <c r="B439" t="s">
        <v>1220</v>
      </c>
      <c r="D439" t="s">
        <v>1221</v>
      </c>
      <c r="E439" t="s">
        <v>1186</v>
      </c>
      <c r="F439">
        <v>0</v>
      </c>
    </row>
    <row r="440" spans="2:6" x14ac:dyDescent="0.15">
      <c r="E440" t="s">
        <v>1187</v>
      </c>
      <c r="F440">
        <v>1</v>
      </c>
    </row>
    <row r="441" spans="2:6" x14ac:dyDescent="0.15">
      <c r="E441" t="s">
        <v>1188</v>
      </c>
      <c r="F441">
        <v>2</v>
      </c>
    </row>
    <row r="442" spans="2:6" x14ac:dyDescent="0.15">
      <c r="E442" t="s">
        <v>1189</v>
      </c>
      <c r="F442">
        <v>3</v>
      </c>
    </row>
    <row r="443" spans="2:6" x14ac:dyDescent="0.15">
      <c r="E443" t="s">
        <v>972</v>
      </c>
      <c r="F443">
        <v>9999</v>
      </c>
    </row>
    <row r="444" spans="2:6" x14ac:dyDescent="0.15">
      <c r="E444" t="s">
        <v>973</v>
      </c>
      <c r="F444" t="s">
        <v>974</v>
      </c>
    </row>
    <row r="445" spans="2:6" x14ac:dyDescent="0.15">
      <c r="E445" t="s">
        <v>975</v>
      </c>
      <c r="F445" t="s">
        <v>124</v>
      </c>
    </row>
    <row r="446" spans="2:6" x14ac:dyDescent="0.15">
      <c r="B446" t="s">
        <v>1222</v>
      </c>
      <c r="D446" t="s">
        <v>1223</v>
      </c>
      <c r="E446" t="s">
        <v>1186</v>
      </c>
      <c r="F446">
        <v>0</v>
      </c>
    </row>
    <row r="447" spans="2:6" x14ac:dyDescent="0.15">
      <c r="E447" t="s">
        <v>1187</v>
      </c>
      <c r="F447">
        <v>1</v>
      </c>
    </row>
    <row r="448" spans="2:6" x14ac:dyDescent="0.15">
      <c r="E448" t="s">
        <v>1188</v>
      </c>
      <c r="F448">
        <v>2</v>
      </c>
    </row>
    <row r="449" spans="2:6" x14ac:dyDescent="0.15">
      <c r="E449" t="s">
        <v>1189</v>
      </c>
      <c r="F449">
        <v>3</v>
      </c>
    </row>
    <row r="450" spans="2:6" x14ac:dyDescent="0.15">
      <c r="E450" t="s">
        <v>972</v>
      </c>
      <c r="F450">
        <v>9999</v>
      </c>
    </row>
    <row r="451" spans="2:6" x14ac:dyDescent="0.15">
      <c r="E451" t="s">
        <v>973</v>
      </c>
      <c r="F451" t="s">
        <v>974</v>
      </c>
    </row>
    <row r="452" spans="2:6" x14ac:dyDescent="0.15">
      <c r="E452" t="s">
        <v>975</v>
      </c>
      <c r="F452" t="s">
        <v>124</v>
      </c>
    </row>
    <row r="453" spans="2:6" x14ac:dyDescent="0.15">
      <c r="B453" t="s">
        <v>1224</v>
      </c>
      <c r="D453" t="s">
        <v>1225</v>
      </c>
      <c r="E453" t="s">
        <v>1186</v>
      </c>
      <c r="F453">
        <v>0</v>
      </c>
    </row>
    <row r="454" spans="2:6" x14ac:dyDescent="0.15">
      <c r="E454" t="s">
        <v>1187</v>
      </c>
      <c r="F454">
        <v>1</v>
      </c>
    </row>
    <row r="455" spans="2:6" x14ac:dyDescent="0.15">
      <c r="E455" t="s">
        <v>1188</v>
      </c>
      <c r="F455">
        <v>2</v>
      </c>
    </row>
    <row r="456" spans="2:6" x14ac:dyDescent="0.15">
      <c r="E456" t="s">
        <v>1189</v>
      </c>
      <c r="F456">
        <v>3</v>
      </c>
    </row>
    <row r="457" spans="2:6" x14ac:dyDescent="0.15">
      <c r="E457" t="s">
        <v>972</v>
      </c>
      <c r="F457">
        <v>9999</v>
      </c>
    </row>
    <row r="458" spans="2:6" x14ac:dyDescent="0.15">
      <c r="E458" t="s">
        <v>973</v>
      </c>
      <c r="F458" t="s">
        <v>974</v>
      </c>
    </row>
    <row r="459" spans="2:6" x14ac:dyDescent="0.15">
      <c r="E459" t="s">
        <v>975</v>
      </c>
      <c r="F459" t="s">
        <v>124</v>
      </c>
    </row>
    <row r="460" spans="2:6" x14ac:dyDescent="0.15">
      <c r="B460" t="s">
        <v>1226</v>
      </c>
      <c r="D460" t="s">
        <v>1227</v>
      </c>
      <c r="E460" t="s">
        <v>1186</v>
      </c>
      <c r="F460">
        <v>0</v>
      </c>
    </row>
    <row r="461" spans="2:6" x14ac:dyDescent="0.15">
      <c r="E461" t="s">
        <v>1187</v>
      </c>
      <c r="F461">
        <v>1</v>
      </c>
    </row>
    <row r="462" spans="2:6" x14ac:dyDescent="0.15">
      <c r="E462" t="s">
        <v>1188</v>
      </c>
      <c r="F462">
        <v>2</v>
      </c>
    </row>
    <row r="463" spans="2:6" x14ac:dyDescent="0.15">
      <c r="E463" t="s">
        <v>1189</v>
      </c>
      <c r="F463">
        <v>3</v>
      </c>
    </row>
    <row r="464" spans="2:6" x14ac:dyDescent="0.15">
      <c r="E464" t="s">
        <v>972</v>
      </c>
      <c r="F464">
        <v>9999</v>
      </c>
    </row>
    <row r="465" spans="2:6" x14ac:dyDescent="0.15">
      <c r="E465" t="s">
        <v>973</v>
      </c>
      <c r="F465" t="s">
        <v>974</v>
      </c>
    </row>
    <row r="466" spans="2:6" x14ac:dyDescent="0.15">
      <c r="E466" t="s">
        <v>975</v>
      </c>
      <c r="F466" t="s">
        <v>124</v>
      </c>
    </row>
    <row r="467" spans="2:6" x14ac:dyDescent="0.15">
      <c r="B467" t="s">
        <v>1228</v>
      </c>
      <c r="D467" t="s">
        <v>1229</v>
      </c>
      <c r="E467" t="s">
        <v>1186</v>
      </c>
      <c r="F467">
        <v>0</v>
      </c>
    </row>
    <row r="468" spans="2:6" x14ac:dyDescent="0.15">
      <c r="E468" t="s">
        <v>1187</v>
      </c>
      <c r="F468">
        <v>1</v>
      </c>
    </row>
    <row r="469" spans="2:6" x14ac:dyDescent="0.15">
      <c r="E469" t="s">
        <v>1188</v>
      </c>
      <c r="F469">
        <v>2</v>
      </c>
    </row>
    <row r="470" spans="2:6" x14ac:dyDescent="0.15">
      <c r="E470" t="s">
        <v>1189</v>
      </c>
      <c r="F470">
        <v>3</v>
      </c>
    </row>
    <row r="471" spans="2:6" x14ac:dyDescent="0.15">
      <c r="E471" t="s">
        <v>972</v>
      </c>
      <c r="F471">
        <v>9999</v>
      </c>
    </row>
    <row r="472" spans="2:6" x14ac:dyDescent="0.15">
      <c r="E472" t="s">
        <v>973</v>
      </c>
      <c r="F472" t="s">
        <v>974</v>
      </c>
    </row>
    <row r="473" spans="2:6" x14ac:dyDescent="0.15">
      <c r="E473" t="s">
        <v>975</v>
      </c>
      <c r="F473" t="s">
        <v>124</v>
      </c>
    </row>
    <row r="474" spans="2:6" x14ac:dyDescent="0.15">
      <c r="B474" t="s">
        <v>1230</v>
      </c>
      <c r="D474" t="s">
        <v>1231</v>
      </c>
      <c r="E474" t="s">
        <v>1186</v>
      </c>
      <c r="F474">
        <v>0</v>
      </c>
    </row>
    <row r="475" spans="2:6" x14ac:dyDescent="0.15">
      <c r="E475" t="s">
        <v>1187</v>
      </c>
      <c r="F475">
        <v>1</v>
      </c>
    </row>
    <row r="476" spans="2:6" x14ac:dyDescent="0.15">
      <c r="E476" t="s">
        <v>1188</v>
      </c>
      <c r="F476">
        <v>2</v>
      </c>
    </row>
    <row r="477" spans="2:6" x14ac:dyDescent="0.15">
      <c r="E477" t="s">
        <v>1189</v>
      </c>
      <c r="F477">
        <v>3</v>
      </c>
    </row>
    <row r="478" spans="2:6" x14ac:dyDescent="0.15">
      <c r="E478" t="s">
        <v>972</v>
      </c>
      <c r="F478">
        <v>9999</v>
      </c>
    </row>
    <row r="479" spans="2:6" x14ac:dyDescent="0.15">
      <c r="E479" t="s">
        <v>973</v>
      </c>
      <c r="F479" t="s">
        <v>974</v>
      </c>
    </row>
    <row r="480" spans="2:6" x14ac:dyDescent="0.15">
      <c r="E480" t="s">
        <v>975</v>
      </c>
      <c r="F480" t="s">
        <v>124</v>
      </c>
    </row>
    <row r="481" spans="2:6" x14ac:dyDescent="0.15">
      <c r="B481" t="s">
        <v>1232</v>
      </c>
      <c r="D481" t="s">
        <v>1233</v>
      </c>
      <c r="E481" t="s">
        <v>1186</v>
      </c>
      <c r="F481">
        <v>0</v>
      </c>
    </row>
    <row r="482" spans="2:6" x14ac:dyDescent="0.15">
      <c r="E482" t="s">
        <v>1187</v>
      </c>
      <c r="F482">
        <v>1</v>
      </c>
    </row>
    <row r="483" spans="2:6" x14ac:dyDescent="0.15">
      <c r="E483" t="s">
        <v>1188</v>
      </c>
      <c r="F483">
        <v>2</v>
      </c>
    </row>
    <row r="484" spans="2:6" x14ac:dyDescent="0.15">
      <c r="E484" t="s">
        <v>1189</v>
      </c>
      <c r="F484">
        <v>3</v>
      </c>
    </row>
    <row r="485" spans="2:6" x14ac:dyDescent="0.15">
      <c r="E485" t="s">
        <v>972</v>
      </c>
      <c r="F485">
        <v>9999</v>
      </c>
    </row>
    <row r="486" spans="2:6" x14ac:dyDescent="0.15">
      <c r="E486" t="s">
        <v>973</v>
      </c>
      <c r="F486" t="s">
        <v>974</v>
      </c>
    </row>
    <row r="487" spans="2:6" x14ac:dyDescent="0.15">
      <c r="E487" t="s">
        <v>975</v>
      </c>
      <c r="F487" t="s">
        <v>124</v>
      </c>
    </row>
    <row r="488" spans="2:6" x14ac:dyDescent="0.15">
      <c r="B488" t="s">
        <v>1234</v>
      </c>
      <c r="D488" t="s">
        <v>1235</v>
      </c>
      <c r="E488" t="s">
        <v>1186</v>
      </c>
      <c r="F488">
        <v>0</v>
      </c>
    </row>
    <row r="489" spans="2:6" x14ac:dyDescent="0.15">
      <c r="E489" t="s">
        <v>1187</v>
      </c>
      <c r="F489">
        <v>1</v>
      </c>
    </row>
    <row r="490" spans="2:6" x14ac:dyDescent="0.15">
      <c r="E490" t="s">
        <v>1188</v>
      </c>
      <c r="F490">
        <v>2</v>
      </c>
    </row>
    <row r="491" spans="2:6" x14ac:dyDescent="0.15">
      <c r="E491" t="s">
        <v>1189</v>
      </c>
      <c r="F491">
        <v>3</v>
      </c>
    </row>
    <row r="492" spans="2:6" x14ac:dyDescent="0.15">
      <c r="E492" t="s">
        <v>972</v>
      </c>
      <c r="F492">
        <v>9999</v>
      </c>
    </row>
    <row r="493" spans="2:6" x14ac:dyDescent="0.15">
      <c r="E493" t="s">
        <v>973</v>
      </c>
      <c r="F493" t="s">
        <v>974</v>
      </c>
    </row>
    <row r="494" spans="2:6" x14ac:dyDescent="0.15">
      <c r="E494" t="s">
        <v>975</v>
      </c>
      <c r="F494" t="s">
        <v>124</v>
      </c>
    </row>
    <row r="495" spans="2:6" x14ac:dyDescent="0.15">
      <c r="B495" t="s">
        <v>1236</v>
      </c>
      <c r="D495" t="s">
        <v>1237</v>
      </c>
      <c r="E495" t="s">
        <v>1186</v>
      </c>
      <c r="F495">
        <v>0</v>
      </c>
    </row>
    <row r="496" spans="2:6" x14ac:dyDescent="0.15">
      <c r="E496" t="s">
        <v>1187</v>
      </c>
      <c r="F496">
        <v>1</v>
      </c>
    </row>
    <row r="497" spans="2:6" x14ac:dyDescent="0.15">
      <c r="E497" t="s">
        <v>1188</v>
      </c>
      <c r="F497">
        <v>2</v>
      </c>
    </row>
    <row r="498" spans="2:6" x14ac:dyDescent="0.15">
      <c r="E498" t="s">
        <v>1189</v>
      </c>
      <c r="F498">
        <v>3</v>
      </c>
    </row>
    <row r="499" spans="2:6" x14ac:dyDescent="0.15">
      <c r="E499" t="s">
        <v>972</v>
      </c>
      <c r="F499">
        <v>9999</v>
      </c>
    </row>
    <row r="500" spans="2:6" x14ac:dyDescent="0.15">
      <c r="E500" t="s">
        <v>973</v>
      </c>
      <c r="F500" t="s">
        <v>974</v>
      </c>
    </row>
    <row r="501" spans="2:6" x14ac:dyDescent="0.15">
      <c r="E501" t="s">
        <v>975</v>
      </c>
      <c r="F501" t="s">
        <v>124</v>
      </c>
    </row>
    <row r="502" spans="2:6" x14ac:dyDescent="0.15">
      <c r="B502" t="s">
        <v>1238</v>
      </c>
      <c r="D502" t="s">
        <v>1239</v>
      </c>
      <c r="E502" t="s">
        <v>1186</v>
      </c>
      <c r="F502">
        <v>0</v>
      </c>
    </row>
    <row r="503" spans="2:6" x14ac:dyDescent="0.15">
      <c r="E503" t="s">
        <v>1187</v>
      </c>
      <c r="F503">
        <v>1</v>
      </c>
    </row>
    <row r="504" spans="2:6" x14ac:dyDescent="0.15">
      <c r="E504" t="s">
        <v>1188</v>
      </c>
      <c r="F504">
        <v>2</v>
      </c>
    </row>
    <row r="505" spans="2:6" x14ac:dyDescent="0.15">
      <c r="E505" t="s">
        <v>1189</v>
      </c>
      <c r="F505">
        <v>3</v>
      </c>
    </row>
    <row r="506" spans="2:6" x14ac:dyDescent="0.15">
      <c r="E506" t="s">
        <v>972</v>
      </c>
      <c r="F506">
        <v>9999</v>
      </c>
    </row>
    <row r="507" spans="2:6" x14ac:dyDescent="0.15">
      <c r="E507" t="s">
        <v>973</v>
      </c>
      <c r="F507" t="s">
        <v>974</v>
      </c>
    </row>
    <row r="508" spans="2:6" x14ac:dyDescent="0.15">
      <c r="E508" t="s">
        <v>975</v>
      </c>
      <c r="F508" t="s">
        <v>124</v>
      </c>
    </row>
    <row r="509" spans="2:6" x14ac:dyDescent="0.15">
      <c r="B509" t="s">
        <v>1240</v>
      </c>
      <c r="D509" t="s">
        <v>1241</v>
      </c>
      <c r="E509" t="s">
        <v>1186</v>
      </c>
      <c r="F509">
        <v>0</v>
      </c>
    </row>
    <row r="510" spans="2:6" x14ac:dyDescent="0.15">
      <c r="E510" t="s">
        <v>1187</v>
      </c>
      <c r="F510">
        <v>1</v>
      </c>
    </row>
    <row r="511" spans="2:6" x14ac:dyDescent="0.15">
      <c r="E511" t="s">
        <v>1188</v>
      </c>
      <c r="F511">
        <v>2</v>
      </c>
    </row>
    <row r="512" spans="2:6" x14ac:dyDescent="0.15">
      <c r="E512" t="s">
        <v>1189</v>
      </c>
      <c r="F512">
        <v>3</v>
      </c>
    </row>
    <row r="513" spans="2:6" x14ac:dyDescent="0.15">
      <c r="E513" t="s">
        <v>972</v>
      </c>
      <c r="F513">
        <v>9999</v>
      </c>
    </row>
    <row r="514" spans="2:6" x14ac:dyDescent="0.15">
      <c r="E514" t="s">
        <v>973</v>
      </c>
      <c r="F514" t="s">
        <v>974</v>
      </c>
    </row>
    <row r="515" spans="2:6" x14ac:dyDescent="0.15">
      <c r="E515" t="s">
        <v>975</v>
      </c>
      <c r="F515" t="s">
        <v>124</v>
      </c>
    </row>
    <row r="516" spans="2:6" x14ac:dyDescent="0.15">
      <c r="B516" t="s">
        <v>1242</v>
      </c>
      <c r="D516" t="s">
        <v>1243</v>
      </c>
      <c r="E516" t="s">
        <v>1186</v>
      </c>
      <c r="F516">
        <v>0</v>
      </c>
    </row>
    <row r="517" spans="2:6" x14ac:dyDescent="0.15">
      <c r="E517" t="s">
        <v>1187</v>
      </c>
      <c r="F517">
        <v>1</v>
      </c>
    </row>
    <row r="518" spans="2:6" x14ac:dyDescent="0.15">
      <c r="E518" t="s">
        <v>1188</v>
      </c>
      <c r="F518">
        <v>2</v>
      </c>
    </row>
    <row r="519" spans="2:6" x14ac:dyDescent="0.15">
      <c r="E519" t="s">
        <v>1189</v>
      </c>
      <c r="F519">
        <v>3</v>
      </c>
    </row>
    <row r="520" spans="2:6" x14ac:dyDescent="0.15">
      <c r="E520" t="s">
        <v>972</v>
      </c>
      <c r="F520">
        <v>9999</v>
      </c>
    </row>
    <row r="521" spans="2:6" x14ac:dyDescent="0.15">
      <c r="E521" t="s">
        <v>973</v>
      </c>
      <c r="F521" t="s">
        <v>974</v>
      </c>
    </row>
    <row r="522" spans="2:6" x14ac:dyDescent="0.15">
      <c r="E522" t="s">
        <v>975</v>
      </c>
      <c r="F522" t="s">
        <v>124</v>
      </c>
    </row>
    <row r="523" spans="2:6" x14ac:dyDescent="0.15">
      <c r="B523" t="s">
        <v>1244</v>
      </c>
      <c r="D523" t="s">
        <v>1245</v>
      </c>
      <c r="E523" t="s">
        <v>1186</v>
      </c>
      <c r="F523">
        <v>0</v>
      </c>
    </row>
    <row r="524" spans="2:6" x14ac:dyDescent="0.15">
      <c r="E524" t="s">
        <v>1187</v>
      </c>
      <c r="F524">
        <v>1</v>
      </c>
    </row>
    <row r="525" spans="2:6" x14ac:dyDescent="0.15">
      <c r="E525" t="s">
        <v>1188</v>
      </c>
      <c r="F525">
        <v>2</v>
      </c>
    </row>
    <row r="526" spans="2:6" x14ac:dyDescent="0.15">
      <c r="E526" t="s">
        <v>1189</v>
      </c>
      <c r="F526">
        <v>3</v>
      </c>
    </row>
    <row r="527" spans="2:6" x14ac:dyDescent="0.15">
      <c r="E527" t="s">
        <v>972</v>
      </c>
      <c r="F527">
        <v>9999</v>
      </c>
    </row>
    <row r="528" spans="2:6" x14ac:dyDescent="0.15">
      <c r="E528" t="s">
        <v>973</v>
      </c>
      <c r="F528" t="s">
        <v>974</v>
      </c>
    </row>
    <row r="529" spans="2:6" x14ac:dyDescent="0.15">
      <c r="E529" t="s">
        <v>975</v>
      </c>
      <c r="F529" t="s">
        <v>124</v>
      </c>
    </row>
    <row r="530" spans="2:6" x14ac:dyDescent="0.15">
      <c r="B530" t="s">
        <v>1246</v>
      </c>
      <c r="D530" t="s">
        <v>1247</v>
      </c>
      <c r="E530" t="s">
        <v>1186</v>
      </c>
      <c r="F530">
        <v>0</v>
      </c>
    </row>
    <row r="531" spans="2:6" x14ac:dyDescent="0.15">
      <c r="E531" t="s">
        <v>1187</v>
      </c>
      <c r="F531">
        <v>1</v>
      </c>
    </row>
    <row r="532" spans="2:6" x14ac:dyDescent="0.15">
      <c r="E532" t="s">
        <v>1188</v>
      </c>
      <c r="F532">
        <v>2</v>
      </c>
    </row>
    <row r="533" spans="2:6" x14ac:dyDescent="0.15">
      <c r="E533" t="s">
        <v>1189</v>
      </c>
      <c r="F533">
        <v>3</v>
      </c>
    </row>
    <row r="534" spans="2:6" x14ac:dyDescent="0.15">
      <c r="E534" t="s">
        <v>972</v>
      </c>
      <c r="F534">
        <v>9999</v>
      </c>
    </row>
    <row r="535" spans="2:6" x14ac:dyDescent="0.15">
      <c r="E535" t="s">
        <v>973</v>
      </c>
      <c r="F535" t="s">
        <v>974</v>
      </c>
    </row>
    <row r="536" spans="2:6" x14ac:dyDescent="0.15">
      <c r="E536" t="s">
        <v>975</v>
      </c>
      <c r="F536" t="s">
        <v>124</v>
      </c>
    </row>
    <row r="537" spans="2:6" x14ac:dyDescent="0.15">
      <c r="B537" t="s">
        <v>1248</v>
      </c>
      <c r="D537" t="s">
        <v>1249</v>
      </c>
      <c r="E537" t="s">
        <v>1186</v>
      </c>
      <c r="F537">
        <v>0</v>
      </c>
    </row>
    <row r="538" spans="2:6" x14ac:dyDescent="0.15">
      <c r="E538" t="s">
        <v>1187</v>
      </c>
      <c r="F538">
        <v>1</v>
      </c>
    </row>
    <row r="539" spans="2:6" x14ac:dyDescent="0.15">
      <c r="E539" t="s">
        <v>1188</v>
      </c>
      <c r="F539">
        <v>2</v>
      </c>
    </row>
    <row r="540" spans="2:6" x14ac:dyDescent="0.15">
      <c r="E540" t="s">
        <v>1189</v>
      </c>
      <c r="F540">
        <v>3</v>
      </c>
    </row>
    <row r="541" spans="2:6" x14ac:dyDescent="0.15">
      <c r="E541" t="s">
        <v>972</v>
      </c>
      <c r="F541">
        <v>9999</v>
      </c>
    </row>
    <row r="542" spans="2:6" x14ac:dyDescent="0.15">
      <c r="E542" t="s">
        <v>973</v>
      </c>
      <c r="F542" t="s">
        <v>974</v>
      </c>
    </row>
    <row r="543" spans="2:6" x14ac:dyDescent="0.15">
      <c r="E543" t="s">
        <v>975</v>
      </c>
      <c r="F543" t="s">
        <v>124</v>
      </c>
    </row>
    <row r="544" spans="2:6" x14ac:dyDescent="0.15">
      <c r="B544" t="s">
        <v>1250</v>
      </c>
      <c r="D544" t="s">
        <v>1251</v>
      </c>
      <c r="E544" t="s">
        <v>1002</v>
      </c>
      <c r="F544">
        <v>1</v>
      </c>
    </row>
    <row r="545" spans="1:6" x14ac:dyDescent="0.15">
      <c r="E545" t="s">
        <v>1001</v>
      </c>
      <c r="F545">
        <v>2</v>
      </c>
    </row>
    <row r="546" spans="1:6" x14ac:dyDescent="0.15">
      <c r="E546" t="s">
        <v>536</v>
      </c>
      <c r="F546">
        <v>3</v>
      </c>
    </row>
    <row r="547" spans="1:6" x14ac:dyDescent="0.15">
      <c r="E547" t="s">
        <v>972</v>
      </c>
      <c r="F547">
        <v>9999</v>
      </c>
    </row>
    <row r="548" spans="1:6" x14ac:dyDescent="0.15">
      <c r="E548" t="s">
        <v>973</v>
      </c>
      <c r="F548" t="s">
        <v>974</v>
      </c>
    </row>
    <row r="549" spans="1:6" x14ac:dyDescent="0.15">
      <c r="E549" t="s">
        <v>975</v>
      </c>
      <c r="F549" t="s">
        <v>124</v>
      </c>
    </row>
    <row r="550" spans="1:6" x14ac:dyDescent="0.15">
      <c r="B550" t="s">
        <v>1252</v>
      </c>
      <c r="D550" t="s">
        <v>1253</v>
      </c>
    </row>
    <row r="551" spans="1:6" x14ac:dyDescent="0.15">
      <c r="A551" t="s">
        <v>1254</v>
      </c>
      <c r="B551" t="s">
        <v>525</v>
      </c>
      <c r="D551" t="s">
        <v>517</v>
      </c>
    </row>
    <row r="552" spans="1:6" x14ac:dyDescent="0.15">
      <c r="B552" t="s">
        <v>1073</v>
      </c>
      <c r="D552" t="s">
        <v>1255</v>
      </c>
      <c r="E552" t="s">
        <v>952</v>
      </c>
      <c r="F552">
        <v>1</v>
      </c>
    </row>
    <row r="553" spans="1:6" x14ac:dyDescent="0.15">
      <c r="E553" t="s">
        <v>955</v>
      </c>
      <c r="F553">
        <v>2</v>
      </c>
    </row>
    <row r="554" spans="1:6" x14ac:dyDescent="0.15">
      <c r="E554" t="s">
        <v>972</v>
      </c>
      <c r="F554">
        <v>9999</v>
      </c>
    </row>
    <row r="555" spans="1:6" x14ac:dyDescent="0.15">
      <c r="E555" t="s">
        <v>973</v>
      </c>
      <c r="F555" t="s">
        <v>974</v>
      </c>
    </row>
    <row r="556" spans="1:6" x14ac:dyDescent="0.15">
      <c r="E556" t="s">
        <v>975</v>
      </c>
      <c r="F556" t="s">
        <v>124</v>
      </c>
    </row>
    <row r="557" spans="1:6" x14ac:dyDescent="0.15">
      <c r="B557" t="s">
        <v>312</v>
      </c>
      <c r="D557" t="s">
        <v>1256</v>
      </c>
      <c r="E557" t="s">
        <v>1257</v>
      </c>
      <c r="F557">
        <v>1</v>
      </c>
    </row>
    <row r="558" spans="1:6" x14ac:dyDescent="0.15">
      <c r="E558" t="s">
        <v>1258</v>
      </c>
      <c r="F558">
        <v>0</v>
      </c>
    </row>
    <row r="559" spans="1:6" x14ac:dyDescent="0.15">
      <c r="E559" t="s">
        <v>972</v>
      </c>
      <c r="F559">
        <v>9999</v>
      </c>
    </row>
    <row r="560" spans="1:6" x14ac:dyDescent="0.15">
      <c r="E560" t="s">
        <v>973</v>
      </c>
      <c r="F560" t="s">
        <v>974</v>
      </c>
    </row>
    <row r="561" spans="2:6" x14ac:dyDescent="0.15">
      <c r="E561" t="s">
        <v>975</v>
      </c>
      <c r="F561" t="s">
        <v>124</v>
      </c>
    </row>
    <row r="562" spans="2:6" x14ac:dyDescent="0.15">
      <c r="B562" t="s">
        <v>1259</v>
      </c>
      <c r="D562" t="s">
        <v>1260</v>
      </c>
      <c r="E562" t="s">
        <v>1261</v>
      </c>
      <c r="F562">
        <v>1</v>
      </c>
    </row>
    <row r="563" spans="2:6" x14ac:dyDescent="0.15">
      <c r="E563" t="s">
        <v>1262</v>
      </c>
      <c r="F563">
        <v>2</v>
      </c>
    </row>
    <row r="564" spans="2:6" x14ac:dyDescent="0.15">
      <c r="E564" t="s">
        <v>1263</v>
      </c>
      <c r="F564">
        <v>3</v>
      </c>
    </row>
    <row r="565" spans="2:6" x14ac:dyDescent="0.15">
      <c r="E565" t="s">
        <v>1264</v>
      </c>
      <c r="F565">
        <v>4</v>
      </c>
    </row>
    <row r="566" spans="2:6" x14ac:dyDescent="0.15">
      <c r="E566" t="s">
        <v>1265</v>
      </c>
      <c r="F566">
        <v>5</v>
      </c>
    </row>
    <row r="567" spans="2:6" x14ac:dyDescent="0.15">
      <c r="E567" t="s">
        <v>972</v>
      </c>
      <c r="F567">
        <v>9999</v>
      </c>
    </row>
    <row r="568" spans="2:6" x14ac:dyDescent="0.15">
      <c r="E568" t="s">
        <v>973</v>
      </c>
      <c r="F568" t="s">
        <v>974</v>
      </c>
    </row>
    <row r="569" spans="2:6" x14ac:dyDescent="0.15">
      <c r="E569" t="s">
        <v>975</v>
      </c>
      <c r="F569" t="s">
        <v>124</v>
      </c>
    </row>
    <row r="570" spans="2:6" x14ac:dyDescent="0.15">
      <c r="B570" t="s">
        <v>1266</v>
      </c>
      <c r="D570" t="s">
        <v>1267</v>
      </c>
      <c r="E570" t="s">
        <v>1268</v>
      </c>
      <c r="F570">
        <v>1</v>
      </c>
    </row>
    <row r="571" spans="2:6" x14ac:dyDescent="0.15">
      <c r="E571" t="s">
        <v>1269</v>
      </c>
      <c r="F571">
        <v>2</v>
      </c>
    </row>
    <row r="572" spans="2:6" x14ac:dyDescent="0.15">
      <c r="E572" t="s">
        <v>1270</v>
      </c>
      <c r="F572">
        <v>3</v>
      </c>
    </row>
    <row r="573" spans="2:6" x14ac:dyDescent="0.15">
      <c r="E573" t="s">
        <v>1271</v>
      </c>
      <c r="F573">
        <v>4</v>
      </c>
    </row>
    <row r="574" spans="2:6" x14ac:dyDescent="0.15">
      <c r="E574" t="s">
        <v>1272</v>
      </c>
      <c r="F574">
        <v>5</v>
      </c>
    </row>
    <row r="575" spans="2:6" x14ac:dyDescent="0.15">
      <c r="E575" t="s">
        <v>972</v>
      </c>
      <c r="F575">
        <v>9999</v>
      </c>
    </row>
    <row r="576" spans="2:6" x14ac:dyDescent="0.15">
      <c r="E576" t="s">
        <v>973</v>
      </c>
      <c r="F576" t="s">
        <v>974</v>
      </c>
    </row>
    <row r="577" spans="2:6" x14ac:dyDescent="0.15">
      <c r="E577" t="s">
        <v>975</v>
      </c>
      <c r="F577" t="s">
        <v>124</v>
      </c>
    </row>
    <row r="578" spans="2:6" x14ac:dyDescent="0.15">
      <c r="B578" t="s">
        <v>1273</v>
      </c>
      <c r="D578" t="s">
        <v>1274</v>
      </c>
      <c r="E578" t="s">
        <v>1275</v>
      </c>
      <c r="F578">
        <v>1</v>
      </c>
    </row>
    <row r="579" spans="2:6" x14ac:dyDescent="0.15">
      <c r="E579" t="s">
        <v>1276</v>
      </c>
      <c r="F579">
        <v>2</v>
      </c>
    </row>
    <row r="580" spans="2:6" x14ac:dyDescent="0.15">
      <c r="E580" t="s">
        <v>1277</v>
      </c>
      <c r="F580">
        <v>3</v>
      </c>
    </row>
    <row r="581" spans="2:6" x14ac:dyDescent="0.15">
      <c r="E581" t="s">
        <v>1278</v>
      </c>
      <c r="F581">
        <v>4</v>
      </c>
    </row>
    <row r="582" spans="2:6" x14ac:dyDescent="0.15">
      <c r="E582" t="s">
        <v>1279</v>
      </c>
      <c r="F582">
        <v>5</v>
      </c>
    </row>
    <row r="583" spans="2:6" x14ac:dyDescent="0.15">
      <c r="E583" t="s">
        <v>1280</v>
      </c>
      <c r="F583">
        <v>6</v>
      </c>
    </row>
    <row r="584" spans="2:6" x14ac:dyDescent="0.15">
      <c r="E584" t="s">
        <v>1281</v>
      </c>
      <c r="F584">
        <v>7</v>
      </c>
    </row>
    <row r="585" spans="2:6" x14ac:dyDescent="0.15">
      <c r="E585" t="s">
        <v>1282</v>
      </c>
      <c r="F585">
        <v>8</v>
      </c>
    </row>
    <row r="586" spans="2:6" x14ac:dyDescent="0.15">
      <c r="E586" t="s">
        <v>972</v>
      </c>
      <c r="F586">
        <v>9999</v>
      </c>
    </row>
    <row r="587" spans="2:6" x14ac:dyDescent="0.15">
      <c r="E587" t="s">
        <v>973</v>
      </c>
      <c r="F587" t="s">
        <v>974</v>
      </c>
    </row>
    <row r="588" spans="2:6" x14ac:dyDescent="0.15">
      <c r="E588" t="s">
        <v>975</v>
      </c>
      <c r="F588" t="s">
        <v>124</v>
      </c>
    </row>
    <row r="589" spans="2:6" x14ac:dyDescent="0.15">
      <c r="B589" t="s">
        <v>1283</v>
      </c>
      <c r="D589" t="s">
        <v>1284</v>
      </c>
      <c r="E589" t="s">
        <v>1275</v>
      </c>
      <c r="F589">
        <v>1</v>
      </c>
    </row>
    <row r="590" spans="2:6" x14ac:dyDescent="0.15">
      <c r="E590" t="s">
        <v>1276</v>
      </c>
      <c r="F590">
        <v>2</v>
      </c>
    </row>
    <row r="591" spans="2:6" x14ac:dyDescent="0.15">
      <c r="E591" t="s">
        <v>1277</v>
      </c>
      <c r="F591">
        <v>3</v>
      </c>
    </row>
    <row r="592" spans="2:6" x14ac:dyDescent="0.15">
      <c r="E592" t="s">
        <v>1278</v>
      </c>
      <c r="F592">
        <v>4</v>
      </c>
    </row>
    <row r="593" spans="2:6" x14ac:dyDescent="0.15">
      <c r="E593" t="s">
        <v>1279</v>
      </c>
      <c r="F593">
        <v>5</v>
      </c>
    </row>
    <row r="594" spans="2:6" x14ac:dyDescent="0.15">
      <c r="E594" t="s">
        <v>1280</v>
      </c>
      <c r="F594">
        <v>6</v>
      </c>
    </row>
    <row r="595" spans="2:6" x14ac:dyDescent="0.15">
      <c r="E595" t="s">
        <v>1281</v>
      </c>
      <c r="F595">
        <v>7</v>
      </c>
    </row>
    <row r="596" spans="2:6" x14ac:dyDescent="0.15">
      <c r="E596" t="s">
        <v>1282</v>
      </c>
      <c r="F596">
        <v>8</v>
      </c>
    </row>
    <row r="597" spans="2:6" x14ac:dyDescent="0.15">
      <c r="E597" t="s">
        <v>972</v>
      </c>
      <c r="F597">
        <v>9999</v>
      </c>
    </row>
    <row r="598" spans="2:6" x14ac:dyDescent="0.15">
      <c r="E598" t="s">
        <v>973</v>
      </c>
      <c r="F598" t="s">
        <v>974</v>
      </c>
    </row>
    <row r="599" spans="2:6" x14ac:dyDescent="0.15">
      <c r="E599" t="s">
        <v>975</v>
      </c>
      <c r="F599" t="s">
        <v>124</v>
      </c>
    </row>
    <row r="600" spans="2:6" x14ac:dyDescent="0.15">
      <c r="B600" t="s">
        <v>1285</v>
      </c>
      <c r="D600" t="s">
        <v>1286</v>
      </c>
      <c r="E600" t="s">
        <v>1275</v>
      </c>
      <c r="F600">
        <v>1</v>
      </c>
    </row>
    <row r="601" spans="2:6" x14ac:dyDescent="0.15">
      <c r="E601" t="s">
        <v>1276</v>
      </c>
      <c r="F601">
        <v>2</v>
      </c>
    </row>
    <row r="602" spans="2:6" x14ac:dyDescent="0.15">
      <c r="E602" t="s">
        <v>1277</v>
      </c>
      <c r="F602">
        <v>3</v>
      </c>
    </row>
    <row r="603" spans="2:6" x14ac:dyDescent="0.15">
      <c r="E603" t="s">
        <v>1278</v>
      </c>
      <c r="F603">
        <v>4</v>
      </c>
    </row>
    <row r="604" spans="2:6" x14ac:dyDescent="0.15">
      <c r="E604" t="s">
        <v>1279</v>
      </c>
      <c r="F604">
        <v>5</v>
      </c>
    </row>
    <row r="605" spans="2:6" x14ac:dyDescent="0.15">
      <c r="E605" t="s">
        <v>1280</v>
      </c>
      <c r="F605">
        <v>6</v>
      </c>
    </row>
    <row r="606" spans="2:6" x14ac:dyDescent="0.15">
      <c r="E606" t="s">
        <v>1281</v>
      </c>
      <c r="F606">
        <v>7</v>
      </c>
    </row>
    <row r="607" spans="2:6" x14ac:dyDescent="0.15">
      <c r="E607" t="s">
        <v>1282</v>
      </c>
      <c r="F607">
        <v>8</v>
      </c>
    </row>
    <row r="608" spans="2:6" x14ac:dyDescent="0.15">
      <c r="E608" t="s">
        <v>972</v>
      </c>
      <c r="F608">
        <v>9999</v>
      </c>
    </row>
    <row r="609" spans="2:6" x14ac:dyDescent="0.15">
      <c r="E609" t="s">
        <v>973</v>
      </c>
      <c r="F609" t="s">
        <v>974</v>
      </c>
    </row>
    <row r="610" spans="2:6" x14ac:dyDescent="0.15">
      <c r="E610" t="s">
        <v>975</v>
      </c>
      <c r="F610" t="s">
        <v>124</v>
      </c>
    </row>
    <row r="611" spans="2:6" x14ac:dyDescent="0.15">
      <c r="B611" t="s">
        <v>1287</v>
      </c>
      <c r="D611" t="s">
        <v>1288</v>
      </c>
      <c r="E611" t="s">
        <v>1289</v>
      </c>
      <c r="F611">
        <v>1</v>
      </c>
    </row>
    <row r="612" spans="2:6" x14ac:dyDescent="0.15">
      <c r="E612" t="s">
        <v>1290</v>
      </c>
      <c r="F612">
        <v>2</v>
      </c>
    </row>
    <row r="613" spans="2:6" x14ac:dyDescent="0.15">
      <c r="E613" t="s">
        <v>1291</v>
      </c>
      <c r="F613">
        <v>3</v>
      </c>
    </row>
    <row r="614" spans="2:6" x14ac:dyDescent="0.15">
      <c r="E614" t="s">
        <v>1292</v>
      </c>
      <c r="F614">
        <v>4</v>
      </c>
    </row>
    <row r="615" spans="2:6" x14ac:dyDescent="0.15">
      <c r="E615" t="s">
        <v>1293</v>
      </c>
      <c r="F615">
        <v>5</v>
      </c>
    </row>
    <row r="616" spans="2:6" x14ac:dyDescent="0.15">
      <c r="E616" t="s">
        <v>1294</v>
      </c>
      <c r="F616">
        <v>6</v>
      </c>
    </row>
    <row r="617" spans="2:6" x14ac:dyDescent="0.15">
      <c r="E617" t="s">
        <v>1295</v>
      </c>
      <c r="F617">
        <v>7</v>
      </c>
    </row>
    <row r="618" spans="2:6" x14ac:dyDescent="0.15">
      <c r="E618" t="s">
        <v>972</v>
      </c>
      <c r="F618">
        <v>9999</v>
      </c>
    </row>
    <row r="619" spans="2:6" x14ac:dyDescent="0.15">
      <c r="E619" t="s">
        <v>973</v>
      </c>
      <c r="F619" t="s">
        <v>974</v>
      </c>
    </row>
    <row r="620" spans="2:6" x14ac:dyDescent="0.15">
      <c r="E620" t="s">
        <v>975</v>
      </c>
      <c r="F620" t="s">
        <v>124</v>
      </c>
    </row>
    <row r="621" spans="2:6" x14ac:dyDescent="0.15">
      <c r="B621" t="s">
        <v>1296</v>
      </c>
      <c r="C621" t="s">
        <v>1297</v>
      </c>
      <c r="D621" t="s">
        <v>1298</v>
      </c>
      <c r="E621">
        <v>1</v>
      </c>
      <c r="F621">
        <v>1</v>
      </c>
    </row>
    <row r="622" spans="2:6" x14ac:dyDescent="0.15">
      <c r="E622">
        <v>2</v>
      </c>
      <c r="F622">
        <v>2</v>
      </c>
    </row>
    <row r="623" spans="2:6" x14ac:dyDescent="0.15">
      <c r="E623">
        <v>3</v>
      </c>
      <c r="F623">
        <v>3</v>
      </c>
    </row>
    <row r="624" spans="2:6" x14ac:dyDescent="0.15">
      <c r="E624">
        <v>4</v>
      </c>
      <c r="F624">
        <v>4</v>
      </c>
    </row>
    <row r="625" spans="2:6" x14ac:dyDescent="0.15">
      <c r="E625">
        <v>5</v>
      </c>
      <c r="F625">
        <v>5</v>
      </c>
    </row>
    <row r="626" spans="2:6" x14ac:dyDescent="0.15">
      <c r="E626">
        <v>6</v>
      </c>
      <c r="F626">
        <v>6</v>
      </c>
    </row>
    <row r="627" spans="2:6" x14ac:dyDescent="0.15">
      <c r="E627">
        <v>7</v>
      </c>
      <c r="F627">
        <v>7</v>
      </c>
    </row>
    <row r="628" spans="2:6" x14ac:dyDescent="0.15">
      <c r="E628" t="s">
        <v>972</v>
      </c>
      <c r="F628">
        <v>9999</v>
      </c>
    </row>
    <row r="629" spans="2:6" x14ac:dyDescent="0.15">
      <c r="E629" t="s">
        <v>973</v>
      </c>
      <c r="F629" t="s">
        <v>974</v>
      </c>
    </row>
    <row r="630" spans="2:6" x14ac:dyDescent="0.15">
      <c r="E630" t="s">
        <v>975</v>
      </c>
      <c r="F630" t="s">
        <v>124</v>
      </c>
    </row>
    <row r="631" spans="2:6" x14ac:dyDescent="0.15">
      <c r="B631" t="s">
        <v>1299</v>
      </c>
      <c r="D631" t="s">
        <v>1300</v>
      </c>
      <c r="E631">
        <v>1</v>
      </c>
      <c r="F631">
        <v>1</v>
      </c>
    </row>
    <row r="632" spans="2:6" x14ac:dyDescent="0.15">
      <c r="E632">
        <v>2</v>
      </c>
      <c r="F632">
        <v>2</v>
      </c>
    </row>
    <row r="633" spans="2:6" x14ac:dyDescent="0.15">
      <c r="E633">
        <v>3</v>
      </c>
      <c r="F633">
        <v>3</v>
      </c>
    </row>
    <row r="634" spans="2:6" x14ac:dyDescent="0.15">
      <c r="E634">
        <v>4</v>
      </c>
      <c r="F634">
        <v>4</v>
      </c>
    </row>
    <row r="635" spans="2:6" x14ac:dyDescent="0.15">
      <c r="E635">
        <v>5</v>
      </c>
      <c r="F635">
        <v>5</v>
      </c>
    </row>
    <row r="636" spans="2:6" x14ac:dyDescent="0.15">
      <c r="E636">
        <v>6</v>
      </c>
      <c r="F636">
        <v>6</v>
      </c>
    </row>
    <row r="637" spans="2:6" x14ac:dyDescent="0.15">
      <c r="E637">
        <v>7</v>
      </c>
      <c r="F637">
        <v>7</v>
      </c>
    </row>
    <row r="638" spans="2:6" x14ac:dyDescent="0.15">
      <c r="E638" t="s">
        <v>972</v>
      </c>
      <c r="F638">
        <v>9999</v>
      </c>
    </row>
    <row r="639" spans="2:6" x14ac:dyDescent="0.15">
      <c r="E639" t="s">
        <v>973</v>
      </c>
      <c r="F639" t="s">
        <v>974</v>
      </c>
    </row>
    <row r="640" spans="2:6" x14ac:dyDescent="0.15">
      <c r="E640" t="s">
        <v>975</v>
      </c>
      <c r="F640" t="s">
        <v>124</v>
      </c>
    </row>
    <row r="641" spans="2:6" x14ac:dyDescent="0.15">
      <c r="B641" t="s">
        <v>1301</v>
      </c>
      <c r="D641" t="s">
        <v>1302</v>
      </c>
      <c r="E641" t="s">
        <v>953</v>
      </c>
      <c r="F641">
        <v>0</v>
      </c>
    </row>
    <row r="642" spans="2:6" x14ac:dyDescent="0.15">
      <c r="E642" t="s">
        <v>956</v>
      </c>
      <c r="F642">
        <v>1</v>
      </c>
    </row>
    <row r="643" spans="2:6" x14ac:dyDescent="0.15">
      <c r="E643" t="s">
        <v>957</v>
      </c>
      <c r="F643">
        <v>2</v>
      </c>
    </row>
    <row r="644" spans="2:6" x14ac:dyDescent="0.15">
      <c r="E644" t="s">
        <v>972</v>
      </c>
      <c r="F644">
        <v>9999</v>
      </c>
    </row>
    <row r="645" spans="2:6" x14ac:dyDescent="0.15">
      <c r="E645" t="s">
        <v>973</v>
      </c>
      <c r="F645" t="s">
        <v>974</v>
      </c>
    </row>
    <row r="646" spans="2:6" x14ac:dyDescent="0.15">
      <c r="E646" t="s">
        <v>975</v>
      </c>
      <c r="F646" t="s">
        <v>124</v>
      </c>
    </row>
    <row r="647" spans="2:6" x14ac:dyDescent="0.15">
      <c r="B647" t="s">
        <v>1303</v>
      </c>
      <c r="D647" t="s">
        <v>1304</v>
      </c>
      <c r="E647" t="s">
        <v>1305</v>
      </c>
      <c r="F647">
        <v>0</v>
      </c>
    </row>
    <row r="648" spans="2:6" x14ac:dyDescent="0.15">
      <c r="E648" t="s">
        <v>1306</v>
      </c>
      <c r="F648">
        <v>1</v>
      </c>
    </row>
    <row r="649" spans="2:6" x14ac:dyDescent="0.15">
      <c r="E649" t="s">
        <v>972</v>
      </c>
      <c r="F649">
        <v>9999</v>
      </c>
    </row>
    <row r="650" spans="2:6" x14ac:dyDescent="0.15">
      <c r="E650" t="s">
        <v>973</v>
      </c>
      <c r="F650" t="s">
        <v>974</v>
      </c>
    </row>
    <row r="651" spans="2:6" x14ac:dyDescent="0.15">
      <c r="E651" t="s">
        <v>975</v>
      </c>
      <c r="F651" t="s">
        <v>124</v>
      </c>
    </row>
    <row r="652" spans="2:6" x14ac:dyDescent="0.15">
      <c r="B652" t="s">
        <v>1307</v>
      </c>
      <c r="C652" t="s">
        <v>1308</v>
      </c>
      <c r="D652" t="s">
        <v>1309</v>
      </c>
    </row>
    <row r="653" spans="2:6" x14ac:dyDescent="0.15">
      <c r="B653" t="s">
        <v>1310</v>
      </c>
      <c r="C653" t="s">
        <v>1311</v>
      </c>
      <c r="D653" t="s">
        <v>1312</v>
      </c>
    </row>
    <row r="654" spans="2:6" x14ac:dyDescent="0.15">
      <c r="B654" t="s">
        <v>1313</v>
      </c>
      <c r="D654" t="s">
        <v>1314</v>
      </c>
      <c r="E654" t="s">
        <v>1305</v>
      </c>
      <c r="F654">
        <v>0</v>
      </c>
    </row>
    <row r="655" spans="2:6" x14ac:dyDescent="0.15">
      <c r="E655" t="s">
        <v>1306</v>
      </c>
      <c r="F655">
        <v>1</v>
      </c>
    </row>
    <row r="656" spans="2:6" x14ac:dyDescent="0.15">
      <c r="E656" t="s">
        <v>972</v>
      </c>
      <c r="F656">
        <v>9999</v>
      </c>
    </row>
    <row r="657" spans="1:6" x14ac:dyDescent="0.15">
      <c r="E657" t="s">
        <v>973</v>
      </c>
      <c r="F657" t="s">
        <v>974</v>
      </c>
    </row>
    <row r="658" spans="1:6" x14ac:dyDescent="0.15">
      <c r="E658" t="s">
        <v>975</v>
      </c>
      <c r="F658" t="s">
        <v>124</v>
      </c>
    </row>
    <row r="659" spans="1:6" x14ac:dyDescent="0.15">
      <c r="B659" t="s">
        <v>1315</v>
      </c>
      <c r="C659" t="s">
        <v>1316</v>
      </c>
      <c r="D659" t="s">
        <v>1317</v>
      </c>
    </row>
    <row r="660" spans="1:6" x14ac:dyDescent="0.15">
      <c r="B660" t="s">
        <v>526</v>
      </c>
      <c r="C660" t="s">
        <v>1318</v>
      </c>
      <c r="D660" t="s">
        <v>518</v>
      </c>
    </row>
    <row r="661" spans="1:6" x14ac:dyDescent="0.15">
      <c r="B661" t="s">
        <v>527</v>
      </c>
      <c r="C661" t="s">
        <v>1318</v>
      </c>
      <c r="D661" t="s">
        <v>519</v>
      </c>
    </row>
    <row r="662" spans="1:6" x14ac:dyDescent="0.15">
      <c r="B662" t="s">
        <v>528</v>
      </c>
      <c r="C662" t="s">
        <v>1318</v>
      </c>
      <c r="D662" t="s">
        <v>520</v>
      </c>
    </row>
    <row r="663" spans="1:6" x14ac:dyDescent="0.15">
      <c r="B663" t="s">
        <v>529</v>
      </c>
      <c r="C663" t="s">
        <v>1319</v>
      </c>
      <c r="D663" t="s">
        <v>521</v>
      </c>
    </row>
    <row r="664" spans="1:6" x14ac:dyDescent="0.15">
      <c r="B664" t="s">
        <v>530</v>
      </c>
      <c r="C664" t="s">
        <v>1320</v>
      </c>
      <c r="D664" t="s">
        <v>522</v>
      </c>
    </row>
    <row r="665" spans="1:6" x14ac:dyDescent="0.15">
      <c r="B665" t="s">
        <v>531</v>
      </c>
      <c r="C665" t="s">
        <v>1321</v>
      </c>
      <c r="D665" t="s">
        <v>523</v>
      </c>
    </row>
    <row r="666" spans="1:6" x14ac:dyDescent="0.15">
      <c r="B666" t="s">
        <v>532</v>
      </c>
      <c r="C666" t="s">
        <v>1320</v>
      </c>
      <c r="D666" t="s">
        <v>524</v>
      </c>
    </row>
    <row r="667" spans="1:6" x14ac:dyDescent="0.15">
      <c r="A667" t="s">
        <v>1322</v>
      </c>
      <c r="B667" t="s">
        <v>173</v>
      </c>
      <c r="D667" t="s">
        <v>1323</v>
      </c>
      <c r="E667" t="s">
        <v>1001</v>
      </c>
      <c r="F667">
        <v>0</v>
      </c>
    </row>
    <row r="668" spans="1:6" x14ac:dyDescent="0.15">
      <c r="E668" t="s">
        <v>1002</v>
      </c>
      <c r="F668">
        <v>1</v>
      </c>
    </row>
    <row r="669" spans="1:6" x14ac:dyDescent="0.15">
      <c r="E669" t="s">
        <v>972</v>
      </c>
      <c r="F669">
        <v>9999</v>
      </c>
    </row>
    <row r="670" spans="1:6" x14ac:dyDescent="0.15">
      <c r="E670" t="s">
        <v>973</v>
      </c>
      <c r="F670" t="s">
        <v>974</v>
      </c>
    </row>
    <row r="671" spans="1:6" x14ac:dyDescent="0.15">
      <c r="E671" t="s">
        <v>975</v>
      </c>
      <c r="F671" t="s">
        <v>124</v>
      </c>
    </row>
    <row r="672" spans="1:6" x14ac:dyDescent="0.15">
      <c r="B672" t="s">
        <v>1324</v>
      </c>
      <c r="D672" t="s">
        <v>1325</v>
      </c>
      <c r="E672" t="s">
        <v>1326</v>
      </c>
      <c r="F672">
        <v>3</v>
      </c>
    </row>
    <row r="673" spans="2:6" x14ac:dyDescent="0.15">
      <c r="E673" t="s">
        <v>1327</v>
      </c>
      <c r="F673">
        <v>2</v>
      </c>
    </row>
    <row r="674" spans="2:6" x14ac:dyDescent="0.15">
      <c r="E674" t="s">
        <v>1328</v>
      </c>
      <c r="F674">
        <v>1</v>
      </c>
    </row>
    <row r="675" spans="2:6" x14ac:dyDescent="0.15">
      <c r="E675" t="s">
        <v>1329</v>
      </c>
      <c r="F675">
        <v>0</v>
      </c>
    </row>
    <row r="676" spans="2:6" x14ac:dyDescent="0.15">
      <c r="E676" t="s">
        <v>972</v>
      </c>
      <c r="F676">
        <v>9999</v>
      </c>
    </row>
    <row r="677" spans="2:6" x14ac:dyDescent="0.15">
      <c r="E677" t="s">
        <v>973</v>
      </c>
      <c r="F677" t="s">
        <v>974</v>
      </c>
    </row>
    <row r="678" spans="2:6" x14ac:dyDescent="0.15">
      <c r="E678" t="s">
        <v>975</v>
      </c>
      <c r="F678" t="s">
        <v>124</v>
      </c>
    </row>
    <row r="679" spans="2:6" x14ac:dyDescent="0.15">
      <c r="B679" t="s">
        <v>1330</v>
      </c>
      <c r="D679" t="s">
        <v>1331</v>
      </c>
      <c r="E679" t="s">
        <v>1002</v>
      </c>
      <c r="F679">
        <v>1</v>
      </c>
    </row>
    <row r="680" spans="2:6" x14ac:dyDescent="0.15">
      <c r="E680" t="s">
        <v>1001</v>
      </c>
      <c r="F680">
        <v>0</v>
      </c>
    </row>
    <row r="681" spans="2:6" x14ac:dyDescent="0.15">
      <c r="E681" t="s">
        <v>972</v>
      </c>
      <c r="F681">
        <v>9999</v>
      </c>
    </row>
    <row r="682" spans="2:6" x14ac:dyDescent="0.15">
      <c r="E682" t="s">
        <v>973</v>
      </c>
      <c r="F682" t="s">
        <v>974</v>
      </c>
    </row>
    <row r="683" spans="2:6" x14ac:dyDescent="0.15">
      <c r="E683" t="s">
        <v>975</v>
      </c>
      <c r="F683" t="s">
        <v>124</v>
      </c>
    </row>
    <row r="684" spans="2:6" x14ac:dyDescent="0.15">
      <c r="B684" t="s">
        <v>1332</v>
      </c>
      <c r="D684" t="s">
        <v>1333</v>
      </c>
      <c r="E684" t="s">
        <v>1334</v>
      </c>
      <c r="F684">
        <v>1</v>
      </c>
    </row>
    <row r="685" spans="2:6" x14ac:dyDescent="0.15">
      <c r="E685" t="s">
        <v>1335</v>
      </c>
      <c r="F685">
        <v>0</v>
      </c>
    </row>
    <row r="686" spans="2:6" x14ac:dyDescent="0.15">
      <c r="E686" t="s">
        <v>972</v>
      </c>
      <c r="F686">
        <v>9999</v>
      </c>
    </row>
    <row r="687" spans="2:6" x14ac:dyDescent="0.15">
      <c r="E687" t="s">
        <v>973</v>
      </c>
      <c r="F687" t="s">
        <v>974</v>
      </c>
    </row>
    <row r="688" spans="2:6" x14ac:dyDescent="0.15">
      <c r="E688" t="s">
        <v>975</v>
      </c>
      <c r="F688" t="s">
        <v>124</v>
      </c>
    </row>
    <row r="689" spans="2:6" x14ac:dyDescent="0.15">
      <c r="B689" t="s">
        <v>1336</v>
      </c>
      <c r="D689" t="s">
        <v>1337</v>
      </c>
      <c r="E689" t="s">
        <v>1338</v>
      </c>
      <c r="F689">
        <v>0</v>
      </c>
    </row>
    <row r="690" spans="2:6" x14ac:dyDescent="0.15">
      <c r="E690" s="15">
        <v>41598</v>
      </c>
      <c r="F690">
        <v>1</v>
      </c>
    </row>
    <row r="691" spans="2:6" x14ac:dyDescent="0.15">
      <c r="E691" t="s">
        <v>1339</v>
      </c>
      <c r="F691">
        <v>2</v>
      </c>
    </row>
    <row r="692" spans="2:6" x14ac:dyDescent="0.15">
      <c r="E692" t="s">
        <v>1340</v>
      </c>
      <c r="F692">
        <v>3</v>
      </c>
    </row>
    <row r="693" spans="2:6" x14ac:dyDescent="0.15">
      <c r="E693" t="s">
        <v>972</v>
      </c>
      <c r="F693">
        <v>9999</v>
      </c>
    </row>
    <row r="694" spans="2:6" x14ac:dyDescent="0.15">
      <c r="E694" t="s">
        <v>973</v>
      </c>
      <c r="F694" t="s">
        <v>974</v>
      </c>
    </row>
    <row r="695" spans="2:6" x14ac:dyDescent="0.15">
      <c r="E695" t="s">
        <v>975</v>
      </c>
      <c r="F695" t="s">
        <v>124</v>
      </c>
    </row>
    <row r="696" spans="2:6" x14ac:dyDescent="0.15">
      <c r="B696" t="s">
        <v>1341</v>
      </c>
      <c r="D696" t="s">
        <v>1342</v>
      </c>
      <c r="E696" t="s">
        <v>1305</v>
      </c>
      <c r="F696">
        <v>1</v>
      </c>
    </row>
    <row r="697" spans="2:6" x14ac:dyDescent="0.15">
      <c r="E697" t="s">
        <v>1306</v>
      </c>
      <c r="F697">
        <v>0</v>
      </c>
    </row>
    <row r="698" spans="2:6" x14ac:dyDescent="0.15">
      <c r="E698" t="s">
        <v>972</v>
      </c>
      <c r="F698">
        <v>9999</v>
      </c>
    </row>
    <row r="699" spans="2:6" x14ac:dyDescent="0.15">
      <c r="E699" t="s">
        <v>973</v>
      </c>
      <c r="F699" t="s">
        <v>974</v>
      </c>
    </row>
    <row r="700" spans="2:6" x14ac:dyDescent="0.15">
      <c r="E700" t="s">
        <v>975</v>
      </c>
      <c r="F700" t="s">
        <v>124</v>
      </c>
    </row>
    <row r="701" spans="2:6" x14ac:dyDescent="0.15">
      <c r="B701" t="s">
        <v>1343</v>
      </c>
      <c r="D701" t="s">
        <v>1344</v>
      </c>
      <c r="E701" t="s">
        <v>1002</v>
      </c>
      <c r="F701">
        <v>1</v>
      </c>
    </row>
    <row r="702" spans="2:6" x14ac:dyDescent="0.15">
      <c r="E702" t="s">
        <v>1001</v>
      </c>
      <c r="F702">
        <v>0</v>
      </c>
    </row>
    <row r="703" spans="2:6" x14ac:dyDescent="0.15">
      <c r="E703" t="s">
        <v>972</v>
      </c>
      <c r="F703">
        <v>9999</v>
      </c>
    </row>
    <row r="704" spans="2:6" x14ac:dyDescent="0.15">
      <c r="E704" t="s">
        <v>973</v>
      </c>
      <c r="F704" t="s">
        <v>974</v>
      </c>
    </row>
    <row r="705" spans="1:6" x14ac:dyDescent="0.15">
      <c r="E705" t="s">
        <v>975</v>
      </c>
      <c r="F705" t="s">
        <v>124</v>
      </c>
    </row>
    <row r="706" spans="1:6" x14ac:dyDescent="0.15">
      <c r="B706" t="s">
        <v>1345</v>
      </c>
      <c r="D706" t="s">
        <v>1346</v>
      </c>
      <c r="E706" t="s">
        <v>1347</v>
      </c>
      <c r="F706">
        <v>0</v>
      </c>
    </row>
    <row r="707" spans="1:6" x14ac:dyDescent="0.15">
      <c r="E707" t="s">
        <v>1348</v>
      </c>
      <c r="F707">
        <v>1</v>
      </c>
    </row>
    <row r="708" spans="1:6" x14ac:dyDescent="0.15">
      <c r="E708" t="s">
        <v>1349</v>
      </c>
      <c r="F708">
        <v>2</v>
      </c>
    </row>
    <row r="709" spans="1:6" x14ac:dyDescent="0.15">
      <c r="E709" t="s">
        <v>1350</v>
      </c>
      <c r="F709">
        <v>3</v>
      </c>
    </row>
    <row r="710" spans="1:6" x14ac:dyDescent="0.15">
      <c r="E710" t="s">
        <v>1351</v>
      </c>
      <c r="F710">
        <v>4</v>
      </c>
    </row>
    <row r="711" spans="1:6" x14ac:dyDescent="0.15">
      <c r="E711" t="s">
        <v>973</v>
      </c>
      <c r="F711" t="s">
        <v>974</v>
      </c>
    </row>
    <row r="712" spans="1:6" x14ac:dyDescent="0.15">
      <c r="E712" t="s">
        <v>975</v>
      </c>
      <c r="F712" t="s">
        <v>124</v>
      </c>
    </row>
    <row r="713" spans="1:6" x14ac:dyDescent="0.15">
      <c r="A713" t="s">
        <v>1352</v>
      </c>
      <c r="B713" t="s">
        <v>1353</v>
      </c>
      <c r="D713" t="s">
        <v>1354</v>
      </c>
      <c r="E713" t="s">
        <v>1355</v>
      </c>
      <c r="F713">
        <v>1</v>
      </c>
    </row>
    <row r="714" spans="1:6" x14ac:dyDescent="0.15">
      <c r="E714" t="s">
        <v>1002</v>
      </c>
      <c r="F714">
        <v>2</v>
      </c>
    </row>
    <row r="715" spans="1:6" x14ac:dyDescent="0.15">
      <c r="E715" t="s">
        <v>1356</v>
      </c>
      <c r="F715">
        <v>9</v>
      </c>
    </row>
    <row r="716" spans="1:6" x14ac:dyDescent="0.15">
      <c r="E716" t="s">
        <v>972</v>
      </c>
      <c r="F716">
        <v>9999</v>
      </c>
    </row>
    <row r="717" spans="1:6" x14ac:dyDescent="0.15">
      <c r="E717" t="s">
        <v>973</v>
      </c>
      <c r="F717" t="s">
        <v>974</v>
      </c>
    </row>
    <row r="718" spans="1:6" x14ac:dyDescent="0.15">
      <c r="E718" t="s">
        <v>975</v>
      </c>
      <c r="F718" t="s">
        <v>124</v>
      </c>
    </row>
    <row r="719" spans="1:6" x14ac:dyDescent="0.15">
      <c r="B719" t="s">
        <v>1357</v>
      </c>
      <c r="D719" t="s">
        <v>1358</v>
      </c>
      <c r="E719" t="s">
        <v>1355</v>
      </c>
      <c r="F719">
        <v>1</v>
      </c>
    </row>
    <row r="720" spans="1:6" x14ac:dyDescent="0.15">
      <c r="E720" t="s">
        <v>1002</v>
      </c>
      <c r="F720">
        <v>2</v>
      </c>
    </row>
    <row r="721" spans="2:6" x14ac:dyDescent="0.15">
      <c r="E721" t="s">
        <v>1356</v>
      </c>
      <c r="F721">
        <v>9</v>
      </c>
    </row>
    <row r="722" spans="2:6" x14ac:dyDescent="0.15">
      <c r="E722" t="s">
        <v>972</v>
      </c>
      <c r="F722">
        <v>9999</v>
      </c>
    </row>
    <row r="723" spans="2:6" x14ac:dyDescent="0.15">
      <c r="E723" t="s">
        <v>973</v>
      </c>
      <c r="F723" t="s">
        <v>974</v>
      </c>
    </row>
    <row r="724" spans="2:6" x14ac:dyDescent="0.15">
      <c r="E724" t="s">
        <v>975</v>
      </c>
      <c r="F724" t="s">
        <v>124</v>
      </c>
    </row>
    <row r="725" spans="2:6" x14ac:dyDescent="0.15">
      <c r="B725" t="s">
        <v>1359</v>
      </c>
      <c r="D725" t="s">
        <v>1360</v>
      </c>
      <c r="E725" t="s">
        <v>1355</v>
      </c>
      <c r="F725">
        <v>1</v>
      </c>
    </row>
    <row r="726" spans="2:6" x14ac:dyDescent="0.15">
      <c r="E726" t="s">
        <v>1002</v>
      </c>
      <c r="F726">
        <v>2</v>
      </c>
    </row>
    <row r="727" spans="2:6" x14ac:dyDescent="0.15">
      <c r="E727" t="s">
        <v>1356</v>
      </c>
      <c r="F727">
        <v>9</v>
      </c>
    </row>
    <row r="728" spans="2:6" x14ac:dyDescent="0.15">
      <c r="E728" t="s">
        <v>972</v>
      </c>
      <c r="F728">
        <v>9999</v>
      </c>
    </row>
    <row r="729" spans="2:6" x14ac:dyDescent="0.15">
      <c r="E729" t="s">
        <v>973</v>
      </c>
      <c r="F729" t="s">
        <v>974</v>
      </c>
    </row>
    <row r="730" spans="2:6" x14ac:dyDescent="0.15">
      <c r="E730" t="s">
        <v>975</v>
      </c>
      <c r="F730" t="s">
        <v>124</v>
      </c>
    </row>
    <row r="731" spans="2:6" x14ac:dyDescent="0.15">
      <c r="B731" t="s">
        <v>1361</v>
      </c>
      <c r="D731" t="s">
        <v>1362</v>
      </c>
      <c r="E731" t="s">
        <v>1355</v>
      </c>
      <c r="F731">
        <v>1</v>
      </c>
    </row>
    <row r="732" spans="2:6" x14ac:dyDescent="0.15">
      <c r="E732" t="s">
        <v>1002</v>
      </c>
      <c r="F732">
        <v>2</v>
      </c>
    </row>
    <row r="733" spans="2:6" x14ac:dyDescent="0.15">
      <c r="E733" t="s">
        <v>1356</v>
      </c>
      <c r="F733">
        <v>9</v>
      </c>
    </row>
    <row r="734" spans="2:6" x14ac:dyDescent="0.15">
      <c r="E734" t="s">
        <v>972</v>
      </c>
      <c r="F734">
        <v>9999</v>
      </c>
    </row>
    <row r="735" spans="2:6" x14ac:dyDescent="0.15">
      <c r="E735" t="s">
        <v>973</v>
      </c>
      <c r="F735" t="s">
        <v>974</v>
      </c>
    </row>
    <row r="736" spans="2:6" x14ac:dyDescent="0.15">
      <c r="E736" t="s">
        <v>975</v>
      </c>
      <c r="F736" t="s">
        <v>124</v>
      </c>
    </row>
    <row r="737" spans="2:6" x14ac:dyDescent="0.15">
      <c r="B737" t="s">
        <v>1363</v>
      </c>
      <c r="D737" t="s">
        <v>1364</v>
      </c>
      <c r="E737" t="s">
        <v>1355</v>
      </c>
      <c r="F737">
        <v>1</v>
      </c>
    </row>
    <row r="738" spans="2:6" x14ac:dyDescent="0.15">
      <c r="E738" t="s">
        <v>1002</v>
      </c>
      <c r="F738">
        <v>2</v>
      </c>
    </row>
    <row r="739" spans="2:6" x14ac:dyDescent="0.15">
      <c r="E739" t="s">
        <v>1356</v>
      </c>
      <c r="F739">
        <v>9</v>
      </c>
    </row>
    <row r="740" spans="2:6" x14ac:dyDescent="0.15">
      <c r="E740" t="s">
        <v>972</v>
      </c>
      <c r="F740">
        <v>9999</v>
      </c>
    </row>
    <row r="741" spans="2:6" x14ac:dyDescent="0.15">
      <c r="E741" t="s">
        <v>973</v>
      </c>
      <c r="F741" t="s">
        <v>974</v>
      </c>
    </row>
    <row r="742" spans="2:6" x14ac:dyDescent="0.15">
      <c r="E742" t="s">
        <v>975</v>
      </c>
      <c r="F742" t="s">
        <v>124</v>
      </c>
    </row>
    <row r="743" spans="2:6" x14ac:dyDescent="0.15">
      <c r="B743" t="s">
        <v>1365</v>
      </c>
      <c r="D743" t="s">
        <v>1366</v>
      </c>
      <c r="E743" t="s">
        <v>1355</v>
      </c>
      <c r="F743">
        <v>1</v>
      </c>
    </row>
    <row r="744" spans="2:6" x14ac:dyDescent="0.15">
      <c r="E744" t="s">
        <v>1002</v>
      </c>
      <c r="F744">
        <v>2</v>
      </c>
    </row>
    <row r="745" spans="2:6" x14ac:dyDescent="0.15">
      <c r="E745" t="s">
        <v>1356</v>
      </c>
      <c r="F745">
        <v>9</v>
      </c>
    </row>
    <row r="746" spans="2:6" x14ac:dyDescent="0.15">
      <c r="E746" t="s">
        <v>972</v>
      </c>
      <c r="F746">
        <v>9999</v>
      </c>
    </row>
    <row r="747" spans="2:6" x14ac:dyDescent="0.15">
      <c r="E747" t="s">
        <v>973</v>
      </c>
      <c r="F747" t="s">
        <v>974</v>
      </c>
    </row>
    <row r="748" spans="2:6" x14ac:dyDescent="0.15">
      <c r="E748" t="s">
        <v>975</v>
      </c>
      <c r="F748" t="s">
        <v>124</v>
      </c>
    </row>
    <row r="749" spans="2:6" x14ac:dyDescent="0.15">
      <c r="B749" t="s">
        <v>1367</v>
      </c>
      <c r="D749" t="s">
        <v>1368</v>
      </c>
      <c r="E749" t="s">
        <v>1355</v>
      </c>
      <c r="F749">
        <v>1</v>
      </c>
    </row>
    <row r="750" spans="2:6" x14ac:dyDescent="0.15">
      <c r="E750" t="s">
        <v>1002</v>
      </c>
      <c r="F750">
        <v>2</v>
      </c>
    </row>
    <row r="751" spans="2:6" x14ac:dyDescent="0.15">
      <c r="E751" t="s">
        <v>1356</v>
      </c>
      <c r="F751">
        <v>9</v>
      </c>
    </row>
    <row r="752" spans="2:6" x14ac:dyDescent="0.15">
      <c r="E752" t="s">
        <v>972</v>
      </c>
      <c r="F752">
        <v>9999</v>
      </c>
    </row>
    <row r="753" spans="2:6" x14ac:dyDescent="0.15">
      <c r="E753" t="s">
        <v>973</v>
      </c>
      <c r="F753" t="s">
        <v>974</v>
      </c>
    </row>
    <row r="754" spans="2:6" x14ac:dyDescent="0.15">
      <c r="E754" t="s">
        <v>975</v>
      </c>
      <c r="F754" t="s">
        <v>124</v>
      </c>
    </row>
    <row r="755" spans="2:6" x14ac:dyDescent="0.15">
      <c r="B755" t="s">
        <v>1369</v>
      </c>
      <c r="D755" t="s">
        <v>1370</v>
      </c>
      <c r="E755" t="s">
        <v>1355</v>
      </c>
      <c r="F755">
        <v>1</v>
      </c>
    </row>
    <row r="756" spans="2:6" x14ac:dyDescent="0.15">
      <c r="E756" t="s">
        <v>1002</v>
      </c>
      <c r="F756">
        <v>2</v>
      </c>
    </row>
    <row r="757" spans="2:6" x14ac:dyDescent="0.15">
      <c r="E757" t="s">
        <v>1356</v>
      </c>
      <c r="F757">
        <v>9</v>
      </c>
    </row>
    <row r="758" spans="2:6" x14ac:dyDescent="0.15">
      <c r="E758" t="s">
        <v>972</v>
      </c>
      <c r="F758">
        <v>9999</v>
      </c>
    </row>
    <row r="759" spans="2:6" x14ac:dyDescent="0.15">
      <c r="E759" t="s">
        <v>973</v>
      </c>
      <c r="F759" t="s">
        <v>974</v>
      </c>
    </row>
    <row r="760" spans="2:6" x14ac:dyDescent="0.15">
      <c r="E760" t="s">
        <v>975</v>
      </c>
      <c r="F760" t="s">
        <v>124</v>
      </c>
    </row>
    <row r="761" spans="2:6" x14ac:dyDescent="0.15">
      <c r="B761" t="s">
        <v>1371</v>
      </c>
      <c r="D761" t="s">
        <v>1372</v>
      </c>
      <c r="E761" t="s">
        <v>1355</v>
      </c>
      <c r="F761">
        <v>1</v>
      </c>
    </row>
    <row r="762" spans="2:6" x14ac:dyDescent="0.15">
      <c r="E762" t="s">
        <v>1002</v>
      </c>
      <c r="F762">
        <v>2</v>
      </c>
    </row>
    <row r="763" spans="2:6" x14ac:dyDescent="0.15">
      <c r="E763" t="s">
        <v>1356</v>
      </c>
      <c r="F763">
        <v>9</v>
      </c>
    </row>
    <row r="764" spans="2:6" x14ac:dyDescent="0.15">
      <c r="E764" t="s">
        <v>972</v>
      </c>
      <c r="F764">
        <v>9999</v>
      </c>
    </row>
    <row r="765" spans="2:6" x14ac:dyDescent="0.15">
      <c r="E765" t="s">
        <v>973</v>
      </c>
      <c r="F765" t="s">
        <v>974</v>
      </c>
    </row>
    <row r="766" spans="2:6" x14ac:dyDescent="0.15">
      <c r="E766" t="s">
        <v>975</v>
      </c>
      <c r="F766" t="s">
        <v>124</v>
      </c>
    </row>
    <row r="767" spans="2:6" x14ac:dyDescent="0.15">
      <c r="B767" t="s">
        <v>1373</v>
      </c>
      <c r="D767" t="s">
        <v>1374</v>
      </c>
      <c r="E767" t="s">
        <v>1355</v>
      </c>
      <c r="F767">
        <v>1</v>
      </c>
    </row>
    <row r="768" spans="2:6" x14ac:dyDescent="0.15">
      <c r="E768" t="s">
        <v>1002</v>
      </c>
      <c r="F768">
        <v>2</v>
      </c>
    </row>
    <row r="769" spans="2:6" x14ac:dyDescent="0.15">
      <c r="E769" t="s">
        <v>1356</v>
      </c>
      <c r="F769">
        <v>9</v>
      </c>
    </row>
    <row r="770" spans="2:6" x14ac:dyDescent="0.15">
      <c r="E770" t="s">
        <v>972</v>
      </c>
      <c r="F770">
        <v>9999</v>
      </c>
    </row>
    <row r="771" spans="2:6" x14ac:dyDescent="0.15">
      <c r="E771" t="s">
        <v>973</v>
      </c>
      <c r="F771" t="s">
        <v>974</v>
      </c>
    </row>
    <row r="772" spans="2:6" x14ac:dyDescent="0.15">
      <c r="E772" t="s">
        <v>975</v>
      </c>
      <c r="F772" t="s">
        <v>124</v>
      </c>
    </row>
    <row r="773" spans="2:6" x14ac:dyDescent="0.15">
      <c r="B773" t="s">
        <v>1375</v>
      </c>
      <c r="D773" t="s">
        <v>1376</v>
      </c>
      <c r="E773" t="s">
        <v>1355</v>
      </c>
      <c r="F773">
        <v>1</v>
      </c>
    </row>
    <row r="774" spans="2:6" x14ac:dyDescent="0.15">
      <c r="E774" t="s">
        <v>1002</v>
      </c>
      <c r="F774">
        <v>2</v>
      </c>
    </row>
    <row r="775" spans="2:6" x14ac:dyDescent="0.15">
      <c r="E775" t="s">
        <v>1356</v>
      </c>
      <c r="F775">
        <v>9</v>
      </c>
    </row>
    <row r="776" spans="2:6" x14ac:dyDescent="0.15">
      <c r="E776" t="s">
        <v>972</v>
      </c>
      <c r="F776">
        <v>9999</v>
      </c>
    </row>
    <row r="777" spans="2:6" x14ac:dyDescent="0.15">
      <c r="E777" t="s">
        <v>973</v>
      </c>
      <c r="F777" t="s">
        <v>974</v>
      </c>
    </row>
    <row r="778" spans="2:6" x14ac:dyDescent="0.15">
      <c r="E778" t="s">
        <v>975</v>
      </c>
      <c r="F778" t="s">
        <v>124</v>
      </c>
    </row>
    <row r="779" spans="2:6" x14ac:dyDescent="0.15">
      <c r="B779" t="s">
        <v>1377</v>
      </c>
      <c r="D779" t="s">
        <v>1378</v>
      </c>
      <c r="E779" t="s">
        <v>1355</v>
      </c>
      <c r="F779">
        <v>1</v>
      </c>
    </row>
    <row r="780" spans="2:6" x14ac:dyDescent="0.15">
      <c r="E780" t="s">
        <v>1002</v>
      </c>
      <c r="F780">
        <v>2</v>
      </c>
    </row>
    <row r="781" spans="2:6" x14ac:dyDescent="0.15">
      <c r="E781" t="s">
        <v>1356</v>
      </c>
      <c r="F781">
        <v>9</v>
      </c>
    </row>
    <row r="782" spans="2:6" x14ac:dyDescent="0.15">
      <c r="E782" t="s">
        <v>972</v>
      </c>
      <c r="F782">
        <v>9999</v>
      </c>
    </row>
    <row r="783" spans="2:6" x14ac:dyDescent="0.15">
      <c r="E783" t="s">
        <v>973</v>
      </c>
      <c r="F783" t="s">
        <v>974</v>
      </c>
    </row>
    <row r="784" spans="2:6" x14ac:dyDescent="0.15">
      <c r="E784" t="s">
        <v>975</v>
      </c>
      <c r="F784" t="s">
        <v>124</v>
      </c>
    </row>
    <row r="785" spans="2:6" x14ac:dyDescent="0.15">
      <c r="B785" t="s">
        <v>1379</v>
      </c>
      <c r="D785" t="s">
        <v>1380</v>
      </c>
      <c r="E785" t="s">
        <v>1355</v>
      </c>
      <c r="F785">
        <v>1</v>
      </c>
    </row>
    <row r="786" spans="2:6" x14ac:dyDescent="0.15">
      <c r="E786" t="s">
        <v>1002</v>
      </c>
      <c r="F786">
        <v>2</v>
      </c>
    </row>
    <row r="787" spans="2:6" x14ac:dyDescent="0.15">
      <c r="E787" t="s">
        <v>1356</v>
      </c>
      <c r="F787">
        <v>9</v>
      </c>
    </row>
    <row r="788" spans="2:6" x14ac:dyDescent="0.15">
      <c r="E788" t="s">
        <v>972</v>
      </c>
      <c r="F788">
        <v>9999</v>
      </c>
    </row>
    <row r="789" spans="2:6" x14ac:dyDescent="0.15">
      <c r="E789" t="s">
        <v>973</v>
      </c>
      <c r="F789" t="s">
        <v>974</v>
      </c>
    </row>
    <row r="790" spans="2:6" x14ac:dyDescent="0.15">
      <c r="E790" t="s">
        <v>975</v>
      </c>
      <c r="F790" t="s">
        <v>124</v>
      </c>
    </row>
    <row r="791" spans="2:6" x14ac:dyDescent="0.15">
      <c r="B791" t="s">
        <v>1381</v>
      </c>
      <c r="D791" t="s">
        <v>1382</v>
      </c>
      <c r="E791" t="s">
        <v>1355</v>
      </c>
      <c r="F791">
        <v>1</v>
      </c>
    </row>
    <row r="792" spans="2:6" x14ac:dyDescent="0.15">
      <c r="E792" t="s">
        <v>1002</v>
      </c>
      <c r="F792">
        <v>2</v>
      </c>
    </row>
    <row r="793" spans="2:6" x14ac:dyDescent="0.15">
      <c r="E793" t="s">
        <v>1356</v>
      </c>
      <c r="F793">
        <v>9</v>
      </c>
    </row>
    <row r="794" spans="2:6" x14ac:dyDescent="0.15">
      <c r="E794" t="s">
        <v>972</v>
      </c>
      <c r="F794">
        <v>9999</v>
      </c>
    </row>
    <row r="795" spans="2:6" x14ac:dyDescent="0.15">
      <c r="E795" t="s">
        <v>973</v>
      </c>
      <c r="F795" t="s">
        <v>974</v>
      </c>
    </row>
    <row r="796" spans="2:6" x14ac:dyDescent="0.15">
      <c r="E796" t="s">
        <v>975</v>
      </c>
      <c r="F796" t="s">
        <v>124</v>
      </c>
    </row>
    <row r="797" spans="2:6" x14ac:dyDescent="0.15">
      <c r="B797" t="s">
        <v>1383</v>
      </c>
      <c r="D797" t="s">
        <v>1384</v>
      </c>
      <c r="E797" t="s">
        <v>1355</v>
      </c>
      <c r="F797">
        <v>1</v>
      </c>
    </row>
    <row r="798" spans="2:6" x14ac:dyDescent="0.15">
      <c r="E798" t="s">
        <v>1002</v>
      </c>
      <c r="F798">
        <v>2</v>
      </c>
    </row>
    <row r="799" spans="2:6" x14ac:dyDescent="0.15">
      <c r="E799" t="s">
        <v>1356</v>
      </c>
      <c r="F799">
        <v>9</v>
      </c>
    </row>
    <row r="800" spans="2:6" x14ac:dyDescent="0.15">
      <c r="E800" t="s">
        <v>972</v>
      </c>
      <c r="F800">
        <v>9999</v>
      </c>
    </row>
    <row r="801" spans="2:6" x14ac:dyDescent="0.15">
      <c r="E801" t="s">
        <v>973</v>
      </c>
      <c r="F801" t="s">
        <v>974</v>
      </c>
    </row>
    <row r="802" spans="2:6" x14ac:dyDescent="0.15">
      <c r="E802" t="s">
        <v>975</v>
      </c>
      <c r="F802" t="s">
        <v>124</v>
      </c>
    </row>
    <row r="803" spans="2:6" x14ac:dyDescent="0.15">
      <c r="B803" t="s">
        <v>1385</v>
      </c>
      <c r="D803" t="s">
        <v>1386</v>
      </c>
      <c r="E803" t="s">
        <v>1355</v>
      </c>
      <c r="F803">
        <v>1</v>
      </c>
    </row>
    <row r="804" spans="2:6" x14ac:dyDescent="0.15">
      <c r="E804" t="s">
        <v>1002</v>
      </c>
      <c r="F804">
        <v>2</v>
      </c>
    </row>
    <row r="805" spans="2:6" x14ac:dyDescent="0.15">
      <c r="E805" t="s">
        <v>1356</v>
      </c>
      <c r="F805">
        <v>9</v>
      </c>
    </row>
    <row r="806" spans="2:6" x14ac:dyDescent="0.15">
      <c r="E806" t="s">
        <v>972</v>
      </c>
      <c r="F806">
        <v>9999</v>
      </c>
    </row>
    <row r="807" spans="2:6" x14ac:dyDescent="0.15">
      <c r="E807" t="s">
        <v>973</v>
      </c>
      <c r="F807" t="s">
        <v>974</v>
      </c>
    </row>
    <row r="808" spans="2:6" x14ac:dyDescent="0.15">
      <c r="E808" t="s">
        <v>975</v>
      </c>
      <c r="F808" t="s">
        <v>124</v>
      </c>
    </row>
    <row r="809" spans="2:6" x14ac:dyDescent="0.15">
      <c r="B809" t="s">
        <v>1387</v>
      </c>
      <c r="D809" t="s">
        <v>1388</v>
      </c>
      <c r="E809" t="s">
        <v>1355</v>
      </c>
      <c r="F809">
        <v>1</v>
      </c>
    </row>
    <row r="810" spans="2:6" x14ac:dyDescent="0.15">
      <c r="E810" t="s">
        <v>1002</v>
      </c>
      <c r="F810">
        <v>2</v>
      </c>
    </row>
    <row r="811" spans="2:6" x14ac:dyDescent="0.15">
      <c r="E811" t="s">
        <v>1356</v>
      </c>
      <c r="F811">
        <v>9</v>
      </c>
    </row>
    <row r="812" spans="2:6" x14ac:dyDescent="0.15">
      <c r="E812" t="s">
        <v>972</v>
      </c>
      <c r="F812">
        <v>9999</v>
      </c>
    </row>
    <row r="813" spans="2:6" x14ac:dyDescent="0.15">
      <c r="E813" t="s">
        <v>973</v>
      </c>
      <c r="F813" t="s">
        <v>974</v>
      </c>
    </row>
    <row r="814" spans="2:6" x14ac:dyDescent="0.15">
      <c r="E814" t="s">
        <v>975</v>
      </c>
      <c r="F814" t="s">
        <v>124</v>
      </c>
    </row>
    <row r="815" spans="2:6" x14ac:dyDescent="0.15">
      <c r="B815" t="s">
        <v>1389</v>
      </c>
      <c r="D815" t="s">
        <v>1390</v>
      </c>
      <c r="E815" t="s">
        <v>1355</v>
      </c>
      <c r="F815">
        <v>1</v>
      </c>
    </row>
    <row r="816" spans="2:6" x14ac:dyDescent="0.15">
      <c r="E816" t="s">
        <v>1002</v>
      </c>
      <c r="F816">
        <v>2</v>
      </c>
    </row>
    <row r="817" spans="2:6" x14ac:dyDescent="0.15">
      <c r="E817" t="s">
        <v>1356</v>
      </c>
      <c r="F817">
        <v>9</v>
      </c>
    </row>
    <row r="818" spans="2:6" x14ac:dyDescent="0.15">
      <c r="E818" t="s">
        <v>972</v>
      </c>
      <c r="F818">
        <v>9999</v>
      </c>
    </row>
    <row r="819" spans="2:6" x14ac:dyDescent="0.15">
      <c r="E819" t="s">
        <v>973</v>
      </c>
      <c r="F819" t="s">
        <v>974</v>
      </c>
    </row>
    <row r="820" spans="2:6" x14ac:dyDescent="0.15">
      <c r="E820" t="s">
        <v>975</v>
      </c>
      <c r="F820" t="s">
        <v>124</v>
      </c>
    </row>
    <row r="821" spans="2:6" x14ac:dyDescent="0.15">
      <c r="B821" t="s">
        <v>1391</v>
      </c>
      <c r="D821" t="s">
        <v>1392</v>
      </c>
      <c r="E821" t="s">
        <v>1355</v>
      </c>
      <c r="F821">
        <v>1</v>
      </c>
    </row>
    <row r="822" spans="2:6" x14ac:dyDescent="0.15">
      <c r="E822" t="s">
        <v>1002</v>
      </c>
      <c r="F822">
        <v>2</v>
      </c>
    </row>
    <row r="823" spans="2:6" x14ac:dyDescent="0.15">
      <c r="E823" t="s">
        <v>1356</v>
      </c>
      <c r="F823">
        <v>9</v>
      </c>
    </row>
    <row r="824" spans="2:6" x14ac:dyDescent="0.15">
      <c r="E824" t="s">
        <v>972</v>
      </c>
      <c r="F824">
        <v>9999</v>
      </c>
    </row>
    <row r="825" spans="2:6" x14ac:dyDescent="0.15">
      <c r="E825" t="s">
        <v>973</v>
      </c>
      <c r="F825" t="s">
        <v>974</v>
      </c>
    </row>
    <row r="826" spans="2:6" x14ac:dyDescent="0.15">
      <c r="E826" t="s">
        <v>975</v>
      </c>
      <c r="F826" t="s">
        <v>124</v>
      </c>
    </row>
    <row r="827" spans="2:6" x14ac:dyDescent="0.15">
      <c r="B827" t="s">
        <v>1393</v>
      </c>
      <c r="D827" t="s">
        <v>1394</v>
      </c>
      <c r="E827" t="s">
        <v>1355</v>
      </c>
      <c r="F827">
        <v>1</v>
      </c>
    </row>
    <row r="828" spans="2:6" x14ac:dyDescent="0.15">
      <c r="E828" t="s">
        <v>1002</v>
      </c>
      <c r="F828">
        <v>2</v>
      </c>
    </row>
    <row r="829" spans="2:6" x14ac:dyDescent="0.15">
      <c r="E829" t="s">
        <v>1356</v>
      </c>
      <c r="F829">
        <v>9</v>
      </c>
    </row>
    <row r="830" spans="2:6" x14ac:dyDescent="0.15">
      <c r="E830" t="s">
        <v>972</v>
      </c>
      <c r="F830">
        <v>9999</v>
      </c>
    </row>
    <row r="831" spans="2:6" x14ac:dyDescent="0.15">
      <c r="E831" t="s">
        <v>973</v>
      </c>
      <c r="F831" t="s">
        <v>974</v>
      </c>
    </row>
    <row r="832" spans="2:6" x14ac:dyDescent="0.15">
      <c r="E832" t="s">
        <v>975</v>
      </c>
      <c r="F832" t="s">
        <v>124</v>
      </c>
    </row>
    <row r="833" spans="2:6" x14ac:dyDescent="0.15">
      <c r="B833" t="s">
        <v>1395</v>
      </c>
      <c r="D833" t="s">
        <v>1396</v>
      </c>
      <c r="E833" t="s">
        <v>1355</v>
      </c>
      <c r="F833">
        <v>1</v>
      </c>
    </row>
    <row r="834" spans="2:6" x14ac:dyDescent="0.15">
      <c r="E834" t="s">
        <v>1002</v>
      </c>
      <c r="F834">
        <v>2</v>
      </c>
    </row>
    <row r="835" spans="2:6" x14ac:dyDescent="0.15">
      <c r="E835" t="s">
        <v>1356</v>
      </c>
      <c r="F835">
        <v>9</v>
      </c>
    </row>
    <row r="836" spans="2:6" x14ac:dyDescent="0.15">
      <c r="E836" t="s">
        <v>972</v>
      </c>
      <c r="F836">
        <v>9999</v>
      </c>
    </row>
    <row r="837" spans="2:6" x14ac:dyDescent="0.15">
      <c r="E837" t="s">
        <v>973</v>
      </c>
      <c r="F837" t="s">
        <v>974</v>
      </c>
    </row>
    <row r="838" spans="2:6" x14ac:dyDescent="0.15">
      <c r="E838" t="s">
        <v>975</v>
      </c>
      <c r="F838" t="s">
        <v>124</v>
      </c>
    </row>
    <row r="839" spans="2:6" x14ac:dyDescent="0.15">
      <c r="B839" t="s">
        <v>1397</v>
      </c>
      <c r="D839" t="s">
        <v>1398</v>
      </c>
      <c r="E839" t="s">
        <v>1355</v>
      </c>
      <c r="F839">
        <v>1</v>
      </c>
    </row>
    <row r="840" spans="2:6" x14ac:dyDescent="0.15">
      <c r="E840" t="s">
        <v>1002</v>
      </c>
      <c r="F840">
        <v>2</v>
      </c>
    </row>
    <row r="841" spans="2:6" x14ac:dyDescent="0.15">
      <c r="E841" t="s">
        <v>1356</v>
      </c>
      <c r="F841">
        <v>9</v>
      </c>
    </row>
    <row r="842" spans="2:6" x14ac:dyDescent="0.15">
      <c r="E842" t="s">
        <v>972</v>
      </c>
      <c r="F842">
        <v>9999</v>
      </c>
    </row>
    <row r="843" spans="2:6" x14ac:dyDescent="0.15">
      <c r="E843" t="s">
        <v>973</v>
      </c>
      <c r="F843" t="s">
        <v>974</v>
      </c>
    </row>
    <row r="844" spans="2:6" x14ac:dyDescent="0.15">
      <c r="E844" t="s">
        <v>975</v>
      </c>
      <c r="F844" t="s">
        <v>124</v>
      </c>
    </row>
    <row r="845" spans="2:6" x14ac:dyDescent="0.15">
      <c r="B845" t="s">
        <v>1399</v>
      </c>
      <c r="D845" t="s">
        <v>1400</v>
      </c>
      <c r="E845" t="s">
        <v>1355</v>
      </c>
      <c r="F845">
        <v>1</v>
      </c>
    </row>
    <row r="846" spans="2:6" x14ac:dyDescent="0.15">
      <c r="E846" t="s">
        <v>1002</v>
      </c>
      <c r="F846">
        <v>2</v>
      </c>
    </row>
    <row r="847" spans="2:6" x14ac:dyDescent="0.15">
      <c r="E847" t="s">
        <v>1356</v>
      </c>
      <c r="F847">
        <v>9</v>
      </c>
    </row>
    <row r="848" spans="2:6" x14ac:dyDescent="0.15">
      <c r="E848" t="s">
        <v>972</v>
      </c>
      <c r="F848">
        <v>9999</v>
      </c>
    </row>
    <row r="849" spans="2:6" x14ac:dyDescent="0.15">
      <c r="E849" t="s">
        <v>973</v>
      </c>
      <c r="F849" t="s">
        <v>974</v>
      </c>
    </row>
    <row r="850" spans="2:6" x14ac:dyDescent="0.15">
      <c r="E850" t="s">
        <v>975</v>
      </c>
      <c r="F850" t="s">
        <v>124</v>
      </c>
    </row>
    <row r="851" spans="2:6" x14ac:dyDescent="0.15">
      <c r="B851" t="s">
        <v>1401</v>
      </c>
      <c r="D851" t="s">
        <v>1402</v>
      </c>
      <c r="E851" t="s">
        <v>1355</v>
      </c>
      <c r="F851">
        <v>1</v>
      </c>
    </row>
    <row r="852" spans="2:6" x14ac:dyDescent="0.15">
      <c r="E852" t="s">
        <v>1002</v>
      </c>
      <c r="F852">
        <v>2</v>
      </c>
    </row>
    <row r="853" spans="2:6" x14ac:dyDescent="0.15">
      <c r="E853" t="s">
        <v>1356</v>
      </c>
      <c r="F853">
        <v>9</v>
      </c>
    </row>
    <row r="854" spans="2:6" x14ac:dyDescent="0.15">
      <c r="E854" t="s">
        <v>972</v>
      </c>
      <c r="F854">
        <v>9999</v>
      </c>
    </row>
    <row r="855" spans="2:6" x14ac:dyDescent="0.15">
      <c r="E855" t="s">
        <v>973</v>
      </c>
      <c r="F855" t="s">
        <v>974</v>
      </c>
    </row>
    <row r="856" spans="2:6" x14ac:dyDescent="0.15">
      <c r="E856" t="s">
        <v>975</v>
      </c>
      <c r="F856" t="s">
        <v>124</v>
      </c>
    </row>
    <row r="857" spans="2:6" x14ac:dyDescent="0.15">
      <c r="B857" t="s">
        <v>1403</v>
      </c>
      <c r="D857" t="s">
        <v>1404</v>
      </c>
      <c r="E857" t="s">
        <v>1355</v>
      </c>
      <c r="F857">
        <v>1</v>
      </c>
    </row>
    <row r="858" spans="2:6" x14ac:dyDescent="0.15">
      <c r="E858" t="s">
        <v>1002</v>
      </c>
      <c r="F858">
        <v>2</v>
      </c>
    </row>
    <row r="859" spans="2:6" x14ac:dyDescent="0.15">
      <c r="E859" t="s">
        <v>1356</v>
      </c>
      <c r="F859">
        <v>9</v>
      </c>
    </row>
    <row r="860" spans="2:6" x14ac:dyDescent="0.15">
      <c r="E860" t="s">
        <v>972</v>
      </c>
      <c r="F860">
        <v>9999</v>
      </c>
    </row>
    <row r="861" spans="2:6" x14ac:dyDescent="0.15">
      <c r="E861" t="s">
        <v>973</v>
      </c>
      <c r="F861" t="s">
        <v>974</v>
      </c>
    </row>
    <row r="862" spans="2:6" x14ac:dyDescent="0.15">
      <c r="E862" t="s">
        <v>975</v>
      </c>
      <c r="F862" t="s">
        <v>124</v>
      </c>
    </row>
    <row r="863" spans="2:6" x14ac:dyDescent="0.15">
      <c r="B863" t="s">
        <v>1405</v>
      </c>
      <c r="D863" t="s">
        <v>1406</v>
      </c>
    </row>
    <row r="864" spans="2:6" x14ac:dyDescent="0.15">
      <c r="B864" t="s">
        <v>1407</v>
      </c>
      <c r="D864" t="s">
        <v>1408</v>
      </c>
      <c r="E864" t="s">
        <v>1355</v>
      </c>
      <c r="F864">
        <v>1</v>
      </c>
    </row>
    <row r="865" spans="1:6" x14ac:dyDescent="0.15">
      <c r="E865" t="s">
        <v>1002</v>
      </c>
      <c r="F865">
        <v>2</v>
      </c>
    </row>
    <row r="866" spans="1:6" x14ac:dyDescent="0.15">
      <c r="E866" t="s">
        <v>1356</v>
      </c>
      <c r="F866">
        <v>9</v>
      </c>
    </row>
    <row r="867" spans="1:6" x14ac:dyDescent="0.15">
      <c r="E867" t="s">
        <v>972</v>
      </c>
      <c r="F867">
        <v>9999</v>
      </c>
    </row>
    <row r="868" spans="1:6" x14ac:dyDescent="0.15">
      <c r="E868" t="s">
        <v>973</v>
      </c>
      <c r="F868" t="s">
        <v>974</v>
      </c>
    </row>
    <row r="869" spans="1:6" x14ac:dyDescent="0.15">
      <c r="E869" t="s">
        <v>975</v>
      </c>
      <c r="F869" t="s">
        <v>124</v>
      </c>
    </row>
    <row r="870" spans="1:6" x14ac:dyDescent="0.15">
      <c r="B870" t="s">
        <v>1409</v>
      </c>
      <c r="D870" t="s">
        <v>1410</v>
      </c>
    </row>
    <row r="871" spans="1:6" x14ac:dyDescent="0.15">
      <c r="A871" t="s">
        <v>1411</v>
      </c>
      <c r="B871" t="s">
        <v>539</v>
      </c>
      <c r="D871" t="s">
        <v>1412</v>
      </c>
      <c r="E871" t="s">
        <v>764</v>
      </c>
      <c r="F871">
        <v>4000</v>
      </c>
    </row>
    <row r="872" spans="1:6" x14ac:dyDescent="0.15">
      <c r="E872" t="s">
        <v>643</v>
      </c>
      <c r="F872">
        <v>1000</v>
      </c>
    </row>
    <row r="873" spans="1:6" x14ac:dyDescent="0.15">
      <c r="E873" t="s">
        <v>688</v>
      </c>
      <c r="F873">
        <v>1021</v>
      </c>
    </row>
    <row r="874" spans="1:6" x14ac:dyDescent="0.15">
      <c r="E874" t="s">
        <v>686</v>
      </c>
      <c r="F874">
        <v>1020</v>
      </c>
    </row>
    <row r="875" spans="1:6" x14ac:dyDescent="0.15">
      <c r="E875" t="s">
        <v>695</v>
      </c>
      <c r="F875">
        <v>2000</v>
      </c>
    </row>
    <row r="876" spans="1:6" x14ac:dyDescent="0.15">
      <c r="E876" t="s">
        <v>703</v>
      </c>
      <c r="F876">
        <v>2003</v>
      </c>
    </row>
    <row r="877" spans="1:6" x14ac:dyDescent="0.15">
      <c r="E877" t="s">
        <v>763</v>
      </c>
      <c r="F877">
        <v>4000</v>
      </c>
    </row>
    <row r="878" spans="1:6" x14ac:dyDescent="0.15">
      <c r="E878" t="s">
        <v>694</v>
      </c>
      <c r="F878">
        <v>1024</v>
      </c>
    </row>
    <row r="879" spans="1:6" x14ac:dyDescent="0.15">
      <c r="E879" t="s">
        <v>668</v>
      </c>
      <c r="F879">
        <v>1011</v>
      </c>
    </row>
    <row r="880" spans="1:6" x14ac:dyDescent="0.15">
      <c r="E880" t="s">
        <v>671</v>
      </c>
      <c r="F880">
        <v>1013</v>
      </c>
    </row>
    <row r="881" spans="5:6" x14ac:dyDescent="0.15">
      <c r="E881" t="s">
        <v>723</v>
      </c>
      <c r="F881">
        <v>2013</v>
      </c>
    </row>
    <row r="882" spans="5:6" x14ac:dyDescent="0.15">
      <c r="E882" t="s">
        <v>659</v>
      </c>
      <c r="F882">
        <v>1006</v>
      </c>
    </row>
    <row r="883" spans="5:6" x14ac:dyDescent="0.15">
      <c r="E883" t="s">
        <v>689</v>
      </c>
      <c r="F883">
        <v>1022</v>
      </c>
    </row>
    <row r="884" spans="5:6" x14ac:dyDescent="0.15">
      <c r="E884" t="s">
        <v>698</v>
      </c>
      <c r="F884">
        <v>2001</v>
      </c>
    </row>
    <row r="885" spans="5:6" x14ac:dyDescent="0.15">
      <c r="E885" t="s">
        <v>647</v>
      </c>
      <c r="F885">
        <v>1001</v>
      </c>
    </row>
    <row r="886" spans="5:6" x14ac:dyDescent="0.15">
      <c r="E886" t="s">
        <v>646</v>
      </c>
      <c r="F886">
        <v>1001</v>
      </c>
    </row>
    <row r="887" spans="5:6" x14ac:dyDescent="0.15">
      <c r="E887" t="s">
        <v>743</v>
      </c>
      <c r="F887">
        <v>3000</v>
      </c>
    </row>
    <row r="888" spans="5:6" x14ac:dyDescent="0.15">
      <c r="E888" t="s">
        <v>701</v>
      </c>
      <c r="F888">
        <v>2002</v>
      </c>
    </row>
    <row r="889" spans="5:6" x14ac:dyDescent="0.15">
      <c r="E889" t="s">
        <v>649</v>
      </c>
      <c r="F889">
        <v>1002</v>
      </c>
    </row>
    <row r="890" spans="5:6" x14ac:dyDescent="0.15">
      <c r="E890" t="s">
        <v>777</v>
      </c>
      <c r="F890">
        <v>4007</v>
      </c>
    </row>
    <row r="891" spans="5:6" x14ac:dyDescent="0.15">
      <c r="E891" t="s">
        <v>700</v>
      </c>
      <c r="F891">
        <v>2002</v>
      </c>
    </row>
    <row r="892" spans="5:6" x14ac:dyDescent="0.15">
      <c r="E892" t="s">
        <v>702</v>
      </c>
      <c r="F892">
        <v>2003</v>
      </c>
    </row>
    <row r="893" spans="5:6" x14ac:dyDescent="0.15">
      <c r="E893" t="s">
        <v>650</v>
      </c>
      <c r="F893">
        <v>1003</v>
      </c>
    </row>
    <row r="894" spans="5:6" x14ac:dyDescent="0.15">
      <c r="E894" t="s">
        <v>652</v>
      </c>
      <c r="F894">
        <v>1004</v>
      </c>
    </row>
    <row r="895" spans="5:6" x14ac:dyDescent="0.15">
      <c r="E895" t="s">
        <v>765</v>
      </c>
      <c r="F895">
        <v>4001</v>
      </c>
    </row>
    <row r="896" spans="5:6" x14ac:dyDescent="0.15">
      <c r="E896" t="s">
        <v>766</v>
      </c>
      <c r="F896">
        <v>4001</v>
      </c>
    </row>
    <row r="897" spans="5:6" x14ac:dyDescent="0.15">
      <c r="E897" t="s">
        <v>690</v>
      </c>
      <c r="F897">
        <v>1022</v>
      </c>
    </row>
    <row r="898" spans="5:6" x14ac:dyDescent="0.15">
      <c r="E898" t="s">
        <v>708</v>
      </c>
      <c r="F898">
        <v>2006</v>
      </c>
    </row>
    <row r="899" spans="5:6" x14ac:dyDescent="0.15">
      <c r="E899" t="s">
        <v>664</v>
      </c>
      <c r="F899">
        <v>1009</v>
      </c>
    </row>
    <row r="900" spans="5:6" x14ac:dyDescent="0.15">
      <c r="E900" t="s">
        <v>760</v>
      </c>
      <c r="F900">
        <v>3009</v>
      </c>
    </row>
    <row r="901" spans="5:6" x14ac:dyDescent="0.15">
      <c r="E901" t="s">
        <v>762</v>
      </c>
      <c r="F901">
        <v>3010</v>
      </c>
    </row>
    <row r="902" spans="5:6" x14ac:dyDescent="0.15">
      <c r="E902" t="s">
        <v>749</v>
      </c>
      <c r="F902">
        <v>3002</v>
      </c>
    </row>
    <row r="903" spans="5:6" x14ac:dyDescent="0.15">
      <c r="E903" t="s">
        <v>704</v>
      </c>
      <c r="F903">
        <v>2004</v>
      </c>
    </row>
    <row r="904" spans="5:6" x14ac:dyDescent="0.15">
      <c r="E904" t="s">
        <v>737</v>
      </c>
      <c r="F904">
        <v>2019</v>
      </c>
    </row>
    <row r="905" spans="5:6" x14ac:dyDescent="0.15">
      <c r="E905" t="s">
        <v>655</v>
      </c>
      <c r="F905">
        <v>1005</v>
      </c>
    </row>
    <row r="906" spans="5:6" x14ac:dyDescent="0.15">
      <c r="E906" t="s">
        <v>654</v>
      </c>
      <c r="F906">
        <v>1005</v>
      </c>
    </row>
    <row r="907" spans="5:6" x14ac:dyDescent="0.15">
      <c r="E907" t="s">
        <v>658</v>
      </c>
      <c r="F907">
        <v>1006</v>
      </c>
    </row>
    <row r="908" spans="5:6" x14ac:dyDescent="0.15">
      <c r="E908" t="s">
        <v>748</v>
      </c>
      <c r="F908">
        <v>3002</v>
      </c>
    </row>
    <row r="909" spans="5:6" x14ac:dyDescent="0.15">
      <c r="E909" t="s">
        <v>676</v>
      </c>
      <c r="F909">
        <v>1015</v>
      </c>
    </row>
    <row r="910" spans="5:6" x14ac:dyDescent="0.15">
      <c r="E910" t="s">
        <v>707</v>
      </c>
      <c r="F910">
        <v>2005</v>
      </c>
    </row>
    <row r="911" spans="5:6" x14ac:dyDescent="0.15">
      <c r="E911" t="s">
        <v>709</v>
      </c>
      <c r="F911">
        <v>2006</v>
      </c>
    </row>
    <row r="912" spans="5:6" x14ac:dyDescent="0.15">
      <c r="E912" t="s">
        <v>740</v>
      </c>
      <c r="F912">
        <v>2021</v>
      </c>
    </row>
    <row r="913" spans="5:6" x14ac:dyDescent="0.15">
      <c r="E913" t="s">
        <v>696</v>
      </c>
      <c r="F913">
        <v>2000</v>
      </c>
    </row>
    <row r="914" spans="5:6" x14ac:dyDescent="0.15">
      <c r="E914" t="s">
        <v>697</v>
      </c>
      <c r="F914">
        <v>2000</v>
      </c>
    </row>
    <row r="915" spans="5:6" x14ac:dyDescent="0.15">
      <c r="E915" t="s">
        <v>711</v>
      </c>
      <c r="F915">
        <v>2007</v>
      </c>
    </row>
    <row r="916" spans="5:6" x14ac:dyDescent="0.15">
      <c r="E916" t="s">
        <v>746</v>
      </c>
      <c r="F916">
        <v>3001</v>
      </c>
    </row>
    <row r="917" spans="5:6" x14ac:dyDescent="0.15">
      <c r="E917" t="s">
        <v>660</v>
      </c>
      <c r="F917">
        <v>1007</v>
      </c>
    </row>
    <row r="918" spans="5:6" x14ac:dyDescent="0.15">
      <c r="E918" t="s">
        <v>663</v>
      </c>
      <c r="F918">
        <v>1008</v>
      </c>
    </row>
    <row r="919" spans="5:6" x14ac:dyDescent="0.15">
      <c r="E919" t="s">
        <v>712</v>
      </c>
      <c r="F919">
        <v>2008</v>
      </c>
    </row>
    <row r="920" spans="5:6" x14ac:dyDescent="0.15">
      <c r="E920" t="s">
        <v>779</v>
      </c>
      <c r="F920">
        <v>4008</v>
      </c>
    </row>
    <row r="921" spans="5:6" x14ac:dyDescent="0.15">
      <c r="E921" t="s">
        <v>781</v>
      </c>
      <c r="F921">
        <v>4010</v>
      </c>
    </row>
    <row r="922" spans="5:6" x14ac:dyDescent="0.15">
      <c r="E922" t="s">
        <v>665</v>
      </c>
      <c r="F922">
        <v>1009</v>
      </c>
    </row>
    <row r="923" spans="5:6" x14ac:dyDescent="0.15">
      <c r="E923" t="s">
        <v>714</v>
      </c>
      <c r="F923">
        <v>2009</v>
      </c>
    </row>
    <row r="924" spans="5:6" x14ac:dyDescent="0.15">
      <c r="E924" t="s">
        <v>751</v>
      </c>
      <c r="F924">
        <v>3003</v>
      </c>
    </row>
    <row r="925" spans="5:6" x14ac:dyDescent="0.15">
      <c r="E925" t="s">
        <v>542</v>
      </c>
      <c r="F925">
        <v>4006</v>
      </c>
    </row>
    <row r="926" spans="5:6" x14ac:dyDescent="0.15">
      <c r="E926" t="s">
        <v>667</v>
      </c>
      <c r="F926">
        <v>1010</v>
      </c>
    </row>
    <row r="927" spans="5:6" x14ac:dyDescent="0.15">
      <c r="E927" t="s">
        <v>681</v>
      </c>
      <c r="F927">
        <v>1018</v>
      </c>
    </row>
    <row r="928" spans="5:6" x14ac:dyDescent="0.15">
      <c r="E928" t="s">
        <v>784</v>
      </c>
      <c r="F928">
        <v>4011</v>
      </c>
    </row>
    <row r="929" spans="5:6" x14ac:dyDescent="0.15">
      <c r="E929" t="s">
        <v>783</v>
      </c>
      <c r="F929">
        <v>4011</v>
      </c>
    </row>
    <row r="930" spans="5:6" x14ac:dyDescent="0.15">
      <c r="E930" t="s">
        <v>786</v>
      </c>
      <c r="F930">
        <v>4012</v>
      </c>
    </row>
    <row r="931" spans="5:6" x14ac:dyDescent="0.15">
      <c r="E931" t="s">
        <v>785</v>
      </c>
      <c r="F931">
        <v>4012</v>
      </c>
    </row>
    <row r="932" spans="5:6" x14ac:dyDescent="0.15">
      <c r="E932" t="s">
        <v>669</v>
      </c>
      <c r="F932">
        <v>1011</v>
      </c>
    </row>
    <row r="933" spans="5:6" x14ac:dyDescent="0.15">
      <c r="E933" t="s">
        <v>669</v>
      </c>
      <c r="F933">
        <v>1012</v>
      </c>
    </row>
    <row r="934" spans="5:6" x14ac:dyDescent="0.15">
      <c r="E934" t="s">
        <v>718</v>
      </c>
      <c r="F934">
        <v>2010</v>
      </c>
    </row>
    <row r="935" spans="5:6" x14ac:dyDescent="0.15">
      <c r="E935" t="s">
        <v>692</v>
      </c>
      <c r="F935">
        <v>1023</v>
      </c>
    </row>
    <row r="936" spans="5:6" x14ac:dyDescent="0.15">
      <c r="E936" t="s">
        <v>716</v>
      </c>
      <c r="F936">
        <v>2010</v>
      </c>
    </row>
    <row r="937" spans="5:6" x14ac:dyDescent="0.15">
      <c r="E937" t="s">
        <v>754</v>
      </c>
      <c r="F937">
        <v>3005</v>
      </c>
    </row>
    <row r="938" spans="5:6" x14ac:dyDescent="0.15">
      <c r="E938" t="s">
        <v>651</v>
      </c>
      <c r="F938">
        <v>1003</v>
      </c>
    </row>
    <row r="939" spans="5:6" x14ac:dyDescent="0.15">
      <c r="E939" t="s">
        <v>753</v>
      </c>
      <c r="F939">
        <v>3004</v>
      </c>
    </row>
    <row r="940" spans="5:6" x14ac:dyDescent="0.15">
      <c r="E940" t="s">
        <v>752</v>
      </c>
      <c r="F940">
        <v>3004</v>
      </c>
    </row>
    <row r="941" spans="5:6" x14ac:dyDescent="0.15">
      <c r="E941" t="s">
        <v>755</v>
      </c>
      <c r="F941">
        <v>3005</v>
      </c>
    </row>
    <row r="942" spans="5:6" x14ac:dyDescent="0.15">
      <c r="E942" t="s">
        <v>710</v>
      </c>
      <c r="F942">
        <v>2007</v>
      </c>
    </row>
    <row r="943" spans="5:6" x14ac:dyDescent="0.15">
      <c r="E943" t="s">
        <v>648</v>
      </c>
      <c r="F943">
        <v>1002</v>
      </c>
    </row>
    <row r="944" spans="5:6" x14ac:dyDescent="0.15">
      <c r="E944" t="s">
        <v>744</v>
      </c>
      <c r="F944">
        <v>3001</v>
      </c>
    </row>
    <row r="945" spans="5:6" x14ac:dyDescent="0.15">
      <c r="E945" t="s">
        <v>747</v>
      </c>
      <c r="F945">
        <v>3001</v>
      </c>
    </row>
    <row r="946" spans="5:6" x14ac:dyDescent="0.15">
      <c r="E946" t="s">
        <v>745</v>
      </c>
      <c r="F946">
        <v>3001</v>
      </c>
    </row>
    <row r="947" spans="5:6" x14ac:dyDescent="0.15">
      <c r="E947" t="s">
        <v>788</v>
      </c>
      <c r="F947">
        <v>4013</v>
      </c>
    </row>
    <row r="948" spans="5:6" x14ac:dyDescent="0.15">
      <c r="E948" t="s">
        <v>787</v>
      </c>
      <c r="F948">
        <v>4013</v>
      </c>
    </row>
    <row r="949" spans="5:6" x14ac:dyDescent="0.15">
      <c r="E949" t="s">
        <v>662</v>
      </c>
      <c r="F949">
        <v>1008</v>
      </c>
    </row>
    <row r="950" spans="5:6" x14ac:dyDescent="0.15">
      <c r="E950" t="s">
        <v>715</v>
      </c>
      <c r="F950">
        <v>2009</v>
      </c>
    </row>
    <row r="951" spans="5:6" x14ac:dyDescent="0.15">
      <c r="E951" t="s">
        <v>800</v>
      </c>
      <c r="F951">
        <v>4019</v>
      </c>
    </row>
    <row r="952" spans="5:6" x14ac:dyDescent="0.15">
      <c r="E952" t="s">
        <v>789</v>
      </c>
      <c r="F952">
        <v>4014</v>
      </c>
    </row>
    <row r="953" spans="5:6" x14ac:dyDescent="0.15">
      <c r="E953" t="s">
        <v>719</v>
      </c>
      <c r="F953">
        <v>2011</v>
      </c>
    </row>
    <row r="954" spans="5:6" x14ac:dyDescent="0.15">
      <c r="E954" t="s">
        <v>792</v>
      </c>
      <c r="F954">
        <v>4015</v>
      </c>
    </row>
    <row r="955" spans="5:6" x14ac:dyDescent="0.15">
      <c r="E955" t="s">
        <v>791</v>
      </c>
      <c r="F955">
        <v>4015</v>
      </c>
    </row>
    <row r="956" spans="5:6" x14ac:dyDescent="0.15">
      <c r="E956" t="s">
        <v>729</v>
      </c>
      <c r="F956">
        <v>2015</v>
      </c>
    </row>
    <row r="957" spans="5:6" x14ac:dyDescent="0.15">
      <c r="E957" t="s">
        <v>798</v>
      </c>
      <c r="F957">
        <v>4018</v>
      </c>
    </row>
    <row r="958" spans="5:6" x14ac:dyDescent="0.15">
      <c r="E958" t="s">
        <v>722</v>
      </c>
      <c r="F958">
        <v>2012</v>
      </c>
    </row>
    <row r="959" spans="5:6" x14ac:dyDescent="0.15">
      <c r="E959" t="s">
        <v>750</v>
      </c>
      <c r="F959">
        <v>3003</v>
      </c>
    </row>
    <row r="960" spans="5:6" x14ac:dyDescent="0.15">
      <c r="E960" t="s">
        <v>645</v>
      </c>
      <c r="F960">
        <v>1000</v>
      </c>
    </row>
    <row r="961" spans="5:6" x14ac:dyDescent="0.15">
      <c r="E961" t="s">
        <v>705</v>
      </c>
      <c r="F961">
        <v>2004</v>
      </c>
    </row>
    <row r="962" spans="5:6" x14ac:dyDescent="0.15">
      <c r="E962" t="s">
        <v>725</v>
      </c>
      <c r="F962">
        <v>2013</v>
      </c>
    </row>
    <row r="963" spans="5:6" x14ac:dyDescent="0.15">
      <c r="E963" t="s">
        <v>768</v>
      </c>
      <c r="F963">
        <v>4002</v>
      </c>
    </row>
    <row r="964" spans="5:6" x14ac:dyDescent="0.15">
      <c r="E964" t="s">
        <v>796</v>
      </c>
      <c r="F964">
        <v>4017</v>
      </c>
    </row>
    <row r="965" spans="5:6" x14ac:dyDescent="0.15">
      <c r="E965" t="s">
        <v>673</v>
      </c>
      <c r="F965">
        <v>1014</v>
      </c>
    </row>
    <row r="966" spans="5:6" x14ac:dyDescent="0.15">
      <c r="E966" t="s">
        <v>756</v>
      </c>
      <c r="F966">
        <v>3007</v>
      </c>
    </row>
    <row r="967" spans="5:6" x14ac:dyDescent="0.15">
      <c r="E967" t="s">
        <v>724</v>
      </c>
      <c r="F967">
        <v>2013</v>
      </c>
    </row>
    <row r="968" spans="5:6" x14ac:dyDescent="0.15">
      <c r="E968" t="s">
        <v>735</v>
      </c>
      <c r="F968">
        <v>2018</v>
      </c>
    </row>
    <row r="969" spans="5:6" x14ac:dyDescent="0.15">
      <c r="E969" t="s">
        <v>726</v>
      </c>
      <c r="F969">
        <v>2014</v>
      </c>
    </row>
    <row r="970" spans="5:6" x14ac:dyDescent="0.15">
      <c r="E970" t="s">
        <v>727</v>
      </c>
      <c r="F970">
        <v>2014</v>
      </c>
    </row>
    <row r="971" spans="5:6" x14ac:dyDescent="0.15">
      <c r="E971" t="s">
        <v>666</v>
      </c>
      <c r="F971">
        <v>1010</v>
      </c>
    </row>
    <row r="972" spans="5:6" x14ac:dyDescent="0.15">
      <c r="E972" t="s">
        <v>778</v>
      </c>
      <c r="F972">
        <v>4008</v>
      </c>
    </row>
    <row r="973" spans="5:6" x14ac:dyDescent="0.15">
      <c r="E973" t="s">
        <v>794</v>
      </c>
      <c r="F973">
        <v>4016</v>
      </c>
    </row>
    <row r="974" spans="5:6" x14ac:dyDescent="0.15">
      <c r="E974" t="s">
        <v>728</v>
      </c>
      <c r="F974">
        <v>2015</v>
      </c>
    </row>
    <row r="975" spans="5:6" x14ac:dyDescent="0.15">
      <c r="E975" t="s">
        <v>795</v>
      </c>
      <c r="F975">
        <v>4017</v>
      </c>
    </row>
    <row r="976" spans="5:6" x14ac:dyDescent="0.15">
      <c r="E976" t="s">
        <v>780</v>
      </c>
      <c r="F976">
        <v>4009</v>
      </c>
    </row>
    <row r="977" spans="5:6" x14ac:dyDescent="0.15">
      <c r="E977" t="s">
        <v>782</v>
      </c>
      <c r="F977">
        <v>4010</v>
      </c>
    </row>
    <row r="978" spans="5:6" x14ac:dyDescent="0.15">
      <c r="E978" t="s">
        <v>691</v>
      </c>
      <c r="F978">
        <v>1023</v>
      </c>
    </row>
    <row r="979" spans="5:6" x14ac:dyDescent="0.15">
      <c r="E979" t="s">
        <v>661</v>
      </c>
      <c r="F979">
        <v>1007</v>
      </c>
    </row>
    <row r="980" spans="5:6" x14ac:dyDescent="0.15">
      <c r="E980" t="s">
        <v>731</v>
      </c>
      <c r="F980">
        <v>2016</v>
      </c>
    </row>
    <row r="981" spans="5:6" x14ac:dyDescent="0.15">
      <c r="E981" t="s">
        <v>713</v>
      </c>
      <c r="F981">
        <v>2008</v>
      </c>
    </row>
    <row r="982" spans="5:6" x14ac:dyDescent="0.15">
      <c r="E982" t="s">
        <v>675</v>
      </c>
      <c r="F982">
        <v>1015</v>
      </c>
    </row>
    <row r="983" spans="5:6" x14ac:dyDescent="0.15">
      <c r="E983" t="s">
        <v>770</v>
      </c>
      <c r="F983">
        <v>4003</v>
      </c>
    </row>
    <row r="984" spans="5:6" x14ac:dyDescent="0.15">
      <c r="E984" t="s">
        <v>677</v>
      </c>
      <c r="F984">
        <v>1016</v>
      </c>
    </row>
    <row r="985" spans="5:6" x14ac:dyDescent="0.15">
      <c r="E985" t="s">
        <v>672</v>
      </c>
      <c r="F985">
        <v>1013</v>
      </c>
    </row>
    <row r="986" spans="5:6" x14ac:dyDescent="0.15">
      <c r="E986" t="s">
        <v>720</v>
      </c>
      <c r="F986">
        <v>2011</v>
      </c>
    </row>
    <row r="987" spans="5:6" x14ac:dyDescent="0.15">
      <c r="E987" t="s">
        <v>680</v>
      </c>
      <c r="F987">
        <v>1017</v>
      </c>
    </row>
    <row r="988" spans="5:6" x14ac:dyDescent="0.15">
      <c r="E988" t="s">
        <v>771</v>
      </c>
      <c r="F988">
        <v>4004</v>
      </c>
    </row>
    <row r="989" spans="5:6" x14ac:dyDescent="0.15">
      <c r="E989" t="s">
        <v>773</v>
      </c>
      <c r="F989">
        <v>4005</v>
      </c>
    </row>
    <row r="990" spans="5:6" x14ac:dyDescent="0.15">
      <c r="E990" t="s">
        <v>772</v>
      </c>
      <c r="F990">
        <v>4004</v>
      </c>
    </row>
    <row r="991" spans="5:6" x14ac:dyDescent="0.15">
      <c r="E991" t="s">
        <v>774</v>
      </c>
      <c r="F991">
        <v>4005</v>
      </c>
    </row>
    <row r="992" spans="5:6" x14ac:dyDescent="0.15">
      <c r="E992" t="s">
        <v>678</v>
      </c>
      <c r="F992">
        <v>1016</v>
      </c>
    </row>
    <row r="993" spans="5:6" x14ac:dyDescent="0.15">
      <c r="E993" t="s">
        <v>674</v>
      </c>
      <c r="F993">
        <v>1014</v>
      </c>
    </row>
    <row r="994" spans="5:6" x14ac:dyDescent="0.15">
      <c r="E994" t="s">
        <v>790</v>
      </c>
      <c r="F994">
        <v>4014</v>
      </c>
    </row>
    <row r="995" spans="5:6" x14ac:dyDescent="0.15">
      <c r="E995" t="s">
        <v>769</v>
      </c>
      <c r="F995">
        <v>4003</v>
      </c>
    </row>
    <row r="996" spans="5:6" x14ac:dyDescent="0.15">
      <c r="E996" t="s">
        <v>732</v>
      </c>
      <c r="F996">
        <v>2017</v>
      </c>
    </row>
    <row r="997" spans="5:6" x14ac:dyDescent="0.15">
      <c r="E997" t="s">
        <v>721</v>
      </c>
      <c r="F997">
        <v>2012</v>
      </c>
    </row>
    <row r="998" spans="5:6" x14ac:dyDescent="0.15">
      <c r="E998" t="s">
        <v>657</v>
      </c>
      <c r="F998">
        <v>1006</v>
      </c>
    </row>
    <row r="999" spans="5:6" x14ac:dyDescent="0.15">
      <c r="E999" t="s">
        <v>706</v>
      </c>
      <c r="F999">
        <v>2005</v>
      </c>
    </row>
    <row r="1000" spans="5:6" x14ac:dyDescent="0.15">
      <c r="E1000" t="s">
        <v>684</v>
      </c>
      <c r="F1000">
        <v>1019</v>
      </c>
    </row>
    <row r="1001" spans="5:6" x14ac:dyDescent="0.15">
      <c r="E1001" t="s">
        <v>802</v>
      </c>
      <c r="F1001">
        <v>4020</v>
      </c>
    </row>
    <row r="1002" spans="5:6" x14ac:dyDescent="0.15">
      <c r="E1002" t="s">
        <v>739</v>
      </c>
      <c r="F1002">
        <v>2020</v>
      </c>
    </row>
    <row r="1003" spans="5:6" x14ac:dyDescent="0.15">
      <c r="E1003" t="s">
        <v>687</v>
      </c>
      <c r="F1003">
        <v>1021</v>
      </c>
    </row>
    <row r="1004" spans="5:6" x14ac:dyDescent="0.15">
      <c r="E1004" t="s">
        <v>742</v>
      </c>
      <c r="F1004">
        <v>3000</v>
      </c>
    </row>
    <row r="1005" spans="5:6" x14ac:dyDescent="0.15">
      <c r="E1005" t="s">
        <v>679</v>
      </c>
      <c r="F1005">
        <v>1017</v>
      </c>
    </row>
    <row r="1006" spans="5:6" x14ac:dyDescent="0.15">
      <c r="E1006" t="s">
        <v>797</v>
      </c>
      <c r="F1006">
        <v>4018</v>
      </c>
    </row>
    <row r="1007" spans="5:6" x14ac:dyDescent="0.15">
      <c r="E1007" t="s">
        <v>799</v>
      </c>
      <c r="F1007">
        <v>4019</v>
      </c>
    </row>
    <row r="1008" spans="5:6" x14ac:dyDescent="0.15">
      <c r="E1008" t="s">
        <v>776</v>
      </c>
      <c r="F1008">
        <v>4007</v>
      </c>
    </row>
    <row r="1009" spans="5:6" x14ac:dyDescent="0.15">
      <c r="E1009" t="s">
        <v>717</v>
      </c>
      <c r="F1009">
        <v>2010</v>
      </c>
    </row>
    <row r="1010" spans="5:6" x14ac:dyDescent="0.15">
      <c r="E1010" t="s">
        <v>758</v>
      </c>
      <c r="F1010">
        <v>3008</v>
      </c>
    </row>
    <row r="1011" spans="5:6" x14ac:dyDescent="0.15">
      <c r="E1011" t="s">
        <v>759</v>
      </c>
      <c r="F1011">
        <v>3008</v>
      </c>
    </row>
    <row r="1012" spans="5:6" x14ac:dyDescent="0.15">
      <c r="E1012" t="s">
        <v>653</v>
      </c>
      <c r="F1012">
        <v>1004</v>
      </c>
    </row>
    <row r="1013" spans="5:6" x14ac:dyDescent="0.15">
      <c r="E1013" t="s">
        <v>734</v>
      </c>
      <c r="F1013">
        <v>2018</v>
      </c>
    </row>
    <row r="1014" spans="5:6" x14ac:dyDescent="0.15">
      <c r="E1014" t="s">
        <v>736</v>
      </c>
      <c r="F1014">
        <v>2019</v>
      </c>
    </row>
    <row r="1015" spans="5:6" x14ac:dyDescent="0.15">
      <c r="E1015" t="s">
        <v>682</v>
      </c>
      <c r="F1015">
        <v>1018</v>
      </c>
    </row>
    <row r="1016" spans="5:6" x14ac:dyDescent="0.15">
      <c r="E1016" t="s">
        <v>801</v>
      </c>
      <c r="F1016">
        <v>4020</v>
      </c>
    </row>
    <row r="1017" spans="5:6" x14ac:dyDescent="0.15">
      <c r="E1017" t="s">
        <v>693</v>
      </c>
      <c r="F1017">
        <v>1024</v>
      </c>
    </row>
    <row r="1018" spans="5:6" x14ac:dyDescent="0.15">
      <c r="E1018" t="s">
        <v>793</v>
      </c>
      <c r="F1018">
        <v>4016</v>
      </c>
    </row>
    <row r="1019" spans="5:6" x14ac:dyDescent="0.15">
      <c r="E1019" t="s">
        <v>757</v>
      </c>
      <c r="F1019">
        <v>3007</v>
      </c>
    </row>
    <row r="1020" spans="5:6" x14ac:dyDescent="0.15">
      <c r="E1020" t="s">
        <v>738</v>
      </c>
      <c r="F1020">
        <v>2020</v>
      </c>
    </row>
    <row r="1021" spans="5:6" x14ac:dyDescent="0.15">
      <c r="E1021" t="s">
        <v>656</v>
      </c>
      <c r="F1021">
        <v>1005</v>
      </c>
    </row>
    <row r="1022" spans="5:6" x14ac:dyDescent="0.15">
      <c r="E1022" t="s">
        <v>761</v>
      </c>
      <c r="F1022">
        <v>3009</v>
      </c>
    </row>
    <row r="1023" spans="5:6" x14ac:dyDescent="0.15">
      <c r="E1023" t="s">
        <v>741</v>
      </c>
      <c r="F1023">
        <v>2021</v>
      </c>
    </row>
    <row r="1024" spans="5:6" x14ac:dyDescent="0.15">
      <c r="E1024" t="s">
        <v>670</v>
      </c>
      <c r="F1024">
        <v>1012</v>
      </c>
    </row>
    <row r="1025" spans="2:6" x14ac:dyDescent="0.15">
      <c r="E1025" t="s">
        <v>730</v>
      </c>
      <c r="F1025">
        <v>2016</v>
      </c>
    </row>
    <row r="1026" spans="2:6" x14ac:dyDescent="0.15">
      <c r="E1026" t="s">
        <v>699</v>
      </c>
      <c r="F1026">
        <v>2001</v>
      </c>
    </row>
    <row r="1027" spans="2:6" x14ac:dyDescent="0.15">
      <c r="E1027" t="s">
        <v>644</v>
      </c>
      <c r="F1027">
        <v>1000</v>
      </c>
    </row>
    <row r="1028" spans="2:6" x14ac:dyDescent="0.15">
      <c r="E1028" t="s">
        <v>683</v>
      </c>
      <c r="F1028">
        <v>1019</v>
      </c>
    </row>
    <row r="1029" spans="2:6" x14ac:dyDescent="0.15">
      <c r="E1029" t="s">
        <v>775</v>
      </c>
      <c r="F1029">
        <v>4006</v>
      </c>
    </row>
    <row r="1030" spans="2:6" x14ac:dyDescent="0.15">
      <c r="E1030" t="s">
        <v>733</v>
      </c>
      <c r="F1030">
        <v>2017</v>
      </c>
    </row>
    <row r="1031" spans="2:6" x14ac:dyDescent="0.15">
      <c r="E1031" t="s">
        <v>685</v>
      </c>
      <c r="F1031">
        <v>1020</v>
      </c>
    </row>
    <row r="1032" spans="2:6" x14ac:dyDescent="0.15">
      <c r="E1032" t="s">
        <v>767</v>
      </c>
      <c r="F1032">
        <v>4002</v>
      </c>
    </row>
    <row r="1033" spans="2:6" x14ac:dyDescent="0.15">
      <c r="E1033" t="s">
        <v>973</v>
      </c>
      <c r="F1033" t="s">
        <v>974</v>
      </c>
    </row>
    <row r="1034" spans="2:6" x14ac:dyDescent="0.15">
      <c r="E1034" t="s">
        <v>975</v>
      </c>
      <c r="F1034" t="s">
        <v>124</v>
      </c>
    </row>
    <row r="1035" spans="2:6" x14ac:dyDescent="0.15">
      <c r="B1035" t="s">
        <v>541</v>
      </c>
      <c r="D1035" t="s">
        <v>1413</v>
      </c>
    </row>
    <row r="1036" spans="2:6" x14ac:dyDescent="0.15">
      <c r="B1036" t="s">
        <v>544</v>
      </c>
      <c r="D1036" t="s">
        <v>1414</v>
      </c>
    </row>
    <row r="1037" spans="2:6" x14ac:dyDescent="0.15">
      <c r="B1037" t="s">
        <v>579</v>
      </c>
      <c r="D1037" t="s">
        <v>1415</v>
      </c>
      <c r="E1037" t="s">
        <v>1416</v>
      </c>
      <c r="F1037">
        <v>1</v>
      </c>
    </row>
    <row r="1038" spans="2:6" x14ac:dyDescent="0.15">
      <c r="E1038" t="s">
        <v>1417</v>
      </c>
      <c r="F1038">
        <v>2</v>
      </c>
    </row>
    <row r="1039" spans="2:6" x14ac:dyDescent="0.15">
      <c r="E1039" t="s">
        <v>1418</v>
      </c>
      <c r="F1039">
        <v>3</v>
      </c>
    </row>
    <row r="1040" spans="2:6" x14ac:dyDescent="0.15">
      <c r="E1040" t="s">
        <v>1419</v>
      </c>
      <c r="F1040">
        <v>4</v>
      </c>
    </row>
    <row r="1041" spans="1:6" x14ac:dyDescent="0.15">
      <c r="E1041" t="s">
        <v>1420</v>
      </c>
      <c r="F1041">
        <v>5</v>
      </c>
    </row>
    <row r="1042" spans="1:6" x14ac:dyDescent="0.15">
      <c r="E1042" t="s">
        <v>1421</v>
      </c>
      <c r="F1042">
        <v>6</v>
      </c>
    </row>
    <row r="1043" spans="1:6" x14ac:dyDescent="0.15">
      <c r="E1043" t="s">
        <v>1422</v>
      </c>
      <c r="F1043">
        <v>7</v>
      </c>
    </row>
    <row r="1044" spans="1:6" x14ac:dyDescent="0.15">
      <c r="E1044" t="s">
        <v>1423</v>
      </c>
      <c r="F1044">
        <v>8</v>
      </c>
    </row>
    <row r="1045" spans="1:6" x14ac:dyDescent="0.15">
      <c r="E1045" t="s">
        <v>1424</v>
      </c>
      <c r="F1045">
        <v>9</v>
      </c>
    </row>
    <row r="1046" spans="1:6" x14ac:dyDescent="0.15">
      <c r="E1046" t="s">
        <v>1425</v>
      </c>
      <c r="F1046">
        <v>10</v>
      </c>
    </row>
    <row r="1047" spans="1:6" x14ac:dyDescent="0.15">
      <c r="E1047" t="s">
        <v>973</v>
      </c>
      <c r="F1047" t="s">
        <v>974</v>
      </c>
    </row>
    <row r="1048" spans="1:6" x14ac:dyDescent="0.15">
      <c r="E1048" t="s">
        <v>975</v>
      </c>
      <c r="F1048" t="s">
        <v>124</v>
      </c>
    </row>
    <row r="1049" spans="1:6" x14ac:dyDescent="0.15">
      <c r="B1049" t="s">
        <v>581</v>
      </c>
      <c r="C1049" t="s">
        <v>1426</v>
      </c>
      <c r="D1049" t="s">
        <v>1427</v>
      </c>
    </row>
    <row r="1050" spans="1:6" x14ac:dyDescent="0.15">
      <c r="B1050" t="s">
        <v>1428</v>
      </c>
      <c r="D1050" t="s">
        <v>1429</v>
      </c>
    </row>
    <row r="1051" spans="1:6" x14ac:dyDescent="0.15">
      <c r="B1051" t="s">
        <v>583</v>
      </c>
      <c r="C1051" t="s">
        <v>1430</v>
      </c>
      <c r="D1051" t="s">
        <v>1431</v>
      </c>
    </row>
    <row r="1052" spans="1:6" x14ac:dyDescent="0.15">
      <c r="B1052" t="s">
        <v>585</v>
      </c>
      <c r="C1052" t="s">
        <v>1432</v>
      </c>
      <c r="D1052" t="s">
        <v>1433</v>
      </c>
    </row>
    <row r="1053" spans="1:6" x14ac:dyDescent="0.15">
      <c r="B1053" t="s">
        <v>587</v>
      </c>
      <c r="C1053" t="s">
        <v>1434</v>
      </c>
      <c r="D1053" t="s">
        <v>1435</v>
      </c>
    </row>
    <row r="1054" spans="1:6" x14ac:dyDescent="0.15">
      <c r="B1054" t="s">
        <v>589</v>
      </c>
      <c r="C1054" t="s">
        <v>1436</v>
      </c>
      <c r="D1054" t="s">
        <v>1437</v>
      </c>
    </row>
    <row r="1055" spans="1:6" x14ac:dyDescent="0.15">
      <c r="A1055" t="s">
        <v>1438</v>
      </c>
      <c r="B1055" t="s">
        <v>1439</v>
      </c>
      <c r="D1055" t="s">
        <v>1440</v>
      </c>
      <c r="E1055" t="s">
        <v>1441</v>
      </c>
      <c r="F1055">
        <v>0</v>
      </c>
    </row>
    <row r="1056" spans="1:6" x14ac:dyDescent="0.15">
      <c r="E1056" t="s">
        <v>1442</v>
      </c>
      <c r="F1056">
        <v>1</v>
      </c>
    </row>
    <row r="1057" spans="2:6" x14ac:dyDescent="0.15">
      <c r="E1057" t="s">
        <v>972</v>
      </c>
      <c r="F1057">
        <v>9999</v>
      </c>
    </row>
    <row r="1058" spans="2:6" x14ac:dyDescent="0.15">
      <c r="E1058" t="s">
        <v>973</v>
      </c>
      <c r="F1058" t="s">
        <v>974</v>
      </c>
    </row>
    <row r="1059" spans="2:6" x14ac:dyDescent="0.15">
      <c r="E1059" t="s">
        <v>975</v>
      </c>
      <c r="F1059" t="s">
        <v>124</v>
      </c>
    </row>
    <row r="1060" spans="2:6" x14ac:dyDescent="0.15">
      <c r="B1060" t="s">
        <v>1443</v>
      </c>
      <c r="D1060" t="s">
        <v>1444</v>
      </c>
      <c r="E1060" t="s">
        <v>1016</v>
      </c>
      <c r="F1060">
        <v>0</v>
      </c>
    </row>
    <row r="1061" spans="2:6" x14ac:dyDescent="0.15">
      <c r="E1061" t="s">
        <v>1445</v>
      </c>
      <c r="F1061">
        <v>1</v>
      </c>
    </row>
    <row r="1062" spans="2:6" x14ac:dyDescent="0.15">
      <c r="E1062" t="s">
        <v>972</v>
      </c>
      <c r="F1062">
        <v>9999</v>
      </c>
    </row>
    <row r="1063" spans="2:6" x14ac:dyDescent="0.15">
      <c r="E1063" t="s">
        <v>973</v>
      </c>
      <c r="F1063" t="s">
        <v>974</v>
      </c>
    </row>
    <row r="1064" spans="2:6" x14ac:dyDescent="0.15">
      <c r="E1064" t="s">
        <v>975</v>
      </c>
      <c r="F1064" t="s">
        <v>124</v>
      </c>
    </row>
    <row r="1065" spans="2:6" x14ac:dyDescent="0.15">
      <c r="B1065" t="s">
        <v>1446</v>
      </c>
      <c r="D1065" t="s">
        <v>1447</v>
      </c>
      <c r="E1065" t="s">
        <v>1016</v>
      </c>
      <c r="F1065">
        <v>0</v>
      </c>
    </row>
    <row r="1066" spans="2:6" x14ac:dyDescent="0.15">
      <c r="E1066" t="s">
        <v>1445</v>
      </c>
      <c r="F1066">
        <v>1</v>
      </c>
    </row>
    <row r="1067" spans="2:6" x14ac:dyDescent="0.15">
      <c r="E1067" t="s">
        <v>972</v>
      </c>
      <c r="F1067">
        <v>9999</v>
      </c>
    </row>
    <row r="1068" spans="2:6" x14ac:dyDescent="0.15">
      <c r="E1068" t="s">
        <v>973</v>
      </c>
      <c r="F1068" t="s">
        <v>974</v>
      </c>
    </row>
    <row r="1069" spans="2:6" x14ac:dyDescent="0.15">
      <c r="E1069" t="s">
        <v>975</v>
      </c>
      <c r="F1069" t="s">
        <v>124</v>
      </c>
    </row>
    <row r="1070" spans="2:6" x14ac:dyDescent="0.15">
      <c r="B1070" t="s">
        <v>1448</v>
      </c>
      <c r="D1070" t="s">
        <v>1449</v>
      </c>
      <c r="E1070" t="s">
        <v>1016</v>
      </c>
      <c r="F1070">
        <v>0</v>
      </c>
    </row>
    <row r="1071" spans="2:6" x14ac:dyDescent="0.15">
      <c r="E1071" t="s">
        <v>1445</v>
      </c>
      <c r="F1071">
        <v>1</v>
      </c>
    </row>
    <row r="1072" spans="2:6" x14ac:dyDescent="0.15">
      <c r="E1072" t="s">
        <v>972</v>
      </c>
      <c r="F1072">
        <v>9999</v>
      </c>
    </row>
    <row r="1073" spans="2:6" x14ac:dyDescent="0.15">
      <c r="E1073" t="s">
        <v>973</v>
      </c>
      <c r="F1073" t="s">
        <v>974</v>
      </c>
    </row>
    <row r="1074" spans="2:6" x14ac:dyDescent="0.15">
      <c r="E1074" t="s">
        <v>975</v>
      </c>
      <c r="F1074" t="s">
        <v>124</v>
      </c>
    </row>
    <row r="1075" spans="2:6" x14ac:dyDescent="0.15">
      <c r="B1075" t="s">
        <v>1450</v>
      </c>
      <c r="D1075" t="s">
        <v>1451</v>
      </c>
      <c r="E1075" t="s">
        <v>1016</v>
      </c>
      <c r="F1075">
        <v>0</v>
      </c>
    </row>
    <row r="1076" spans="2:6" x14ac:dyDescent="0.15">
      <c r="E1076" t="s">
        <v>1445</v>
      </c>
      <c r="F1076">
        <v>1</v>
      </c>
    </row>
    <row r="1077" spans="2:6" x14ac:dyDescent="0.15">
      <c r="E1077" t="s">
        <v>972</v>
      </c>
      <c r="F1077">
        <v>9999</v>
      </c>
    </row>
    <row r="1078" spans="2:6" x14ac:dyDescent="0.15">
      <c r="E1078" t="s">
        <v>973</v>
      </c>
      <c r="F1078" t="s">
        <v>974</v>
      </c>
    </row>
    <row r="1079" spans="2:6" x14ac:dyDescent="0.15">
      <c r="E1079" t="s">
        <v>975</v>
      </c>
      <c r="F1079" t="s">
        <v>124</v>
      </c>
    </row>
    <row r="1080" spans="2:6" x14ac:dyDescent="0.15">
      <c r="B1080" t="s">
        <v>1452</v>
      </c>
      <c r="D1080" t="s">
        <v>1453</v>
      </c>
      <c r="E1080" t="s">
        <v>1016</v>
      </c>
      <c r="F1080">
        <v>0</v>
      </c>
    </row>
    <row r="1081" spans="2:6" x14ac:dyDescent="0.15">
      <c r="E1081" t="s">
        <v>1445</v>
      </c>
      <c r="F1081">
        <v>1</v>
      </c>
    </row>
    <row r="1082" spans="2:6" x14ac:dyDescent="0.15">
      <c r="E1082" t="s">
        <v>972</v>
      </c>
      <c r="F1082">
        <v>9999</v>
      </c>
    </row>
    <row r="1083" spans="2:6" x14ac:dyDescent="0.15">
      <c r="E1083" t="s">
        <v>973</v>
      </c>
      <c r="F1083" t="s">
        <v>974</v>
      </c>
    </row>
    <row r="1084" spans="2:6" x14ac:dyDescent="0.15">
      <c r="E1084" t="s">
        <v>975</v>
      </c>
      <c r="F1084" t="s">
        <v>124</v>
      </c>
    </row>
    <row r="1085" spans="2:6" x14ac:dyDescent="0.15">
      <c r="B1085" t="s">
        <v>1454</v>
      </c>
      <c r="D1085" t="s">
        <v>1455</v>
      </c>
      <c r="E1085" t="s">
        <v>1016</v>
      </c>
      <c r="F1085">
        <v>0</v>
      </c>
    </row>
    <row r="1086" spans="2:6" x14ac:dyDescent="0.15">
      <c r="E1086" t="s">
        <v>1445</v>
      </c>
      <c r="F1086">
        <v>1</v>
      </c>
    </row>
    <row r="1087" spans="2:6" x14ac:dyDescent="0.15">
      <c r="E1087" t="s">
        <v>972</v>
      </c>
      <c r="F1087">
        <v>9999</v>
      </c>
    </row>
    <row r="1088" spans="2:6" x14ac:dyDescent="0.15">
      <c r="E1088" t="s">
        <v>973</v>
      </c>
      <c r="F1088" t="s">
        <v>974</v>
      </c>
    </row>
    <row r="1089" spans="2:6" x14ac:dyDescent="0.15">
      <c r="E1089" t="s">
        <v>975</v>
      </c>
      <c r="F1089" t="s">
        <v>124</v>
      </c>
    </row>
    <row r="1090" spans="2:6" x14ac:dyDescent="0.15">
      <c r="B1090" t="s">
        <v>1456</v>
      </c>
      <c r="D1090" t="s">
        <v>1457</v>
      </c>
      <c r="E1090" t="s">
        <v>1016</v>
      </c>
      <c r="F1090">
        <v>0</v>
      </c>
    </row>
    <row r="1091" spans="2:6" x14ac:dyDescent="0.15">
      <c r="E1091" t="s">
        <v>1445</v>
      </c>
      <c r="F1091">
        <v>1</v>
      </c>
    </row>
    <row r="1092" spans="2:6" x14ac:dyDescent="0.15">
      <c r="E1092" t="s">
        <v>972</v>
      </c>
      <c r="F1092">
        <v>9999</v>
      </c>
    </row>
    <row r="1093" spans="2:6" x14ac:dyDescent="0.15">
      <c r="E1093" t="s">
        <v>973</v>
      </c>
      <c r="F1093" t="s">
        <v>974</v>
      </c>
    </row>
    <row r="1094" spans="2:6" x14ac:dyDescent="0.15">
      <c r="E1094" t="s">
        <v>975</v>
      </c>
      <c r="F1094" t="s">
        <v>124</v>
      </c>
    </row>
    <row r="1095" spans="2:6" x14ac:dyDescent="0.15">
      <c r="B1095" t="s">
        <v>1458</v>
      </c>
      <c r="D1095" t="s">
        <v>1459</v>
      </c>
      <c r="E1095" t="s">
        <v>1016</v>
      </c>
      <c r="F1095">
        <v>0</v>
      </c>
    </row>
    <row r="1096" spans="2:6" x14ac:dyDescent="0.15">
      <c r="E1096" t="s">
        <v>1445</v>
      </c>
      <c r="F1096">
        <v>1</v>
      </c>
    </row>
    <row r="1097" spans="2:6" x14ac:dyDescent="0.15">
      <c r="E1097" t="s">
        <v>972</v>
      </c>
      <c r="F1097">
        <v>9999</v>
      </c>
    </row>
    <row r="1098" spans="2:6" x14ac:dyDescent="0.15">
      <c r="E1098" t="s">
        <v>973</v>
      </c>
      <c r="F1098" t="s">
        <v>974</v>
      </c>
    </row>
    <row r="1099" spans="2:6" x14ac:dyDescent="0.15">
      <c r="E1099" t="s">
        <v>975</v>
      </c>
      <c r="F1099" t="s">
        <v>124</v>
      </c>
    </row>
    <row r="1100" spans="2:6" x14ac:dyDescent="0.15">
      <c r="B1100" t="s">
        <v>1460</v>
      </c>
      <c r="D1100" t="s">
        <v>1461</v>
      </c>
      <c r="E1100" t="s">
        <v>1016</v>
      </c>
      <c r="F1100">
        <v>0</v>
      </c>
    </row>
    <row r="1101" spans="2:6" x14ac:dyDescent="0.15">
      <c r="E1101" t="s">
        <v>1445</v>
      </c>
      <c r="F1101">
        <v>1</v>
      </c>
    </row>
    <row r="1102" spans="2:6" x14ac:dyDescent="0.15">
      <c r="E1102" t="s">
        <v>972</v>
      </c>
      <c r="F1102">
        <v>9999</v>
      </c>
    </row>
    <row r="1103" spans="2:6" x14ac:dyDescent="0.15">
      <c r="E1103" t="s">
        <v>973</v>
      </c>
      <c r="F1103" t="s">
        <v>974</v>
      </c>
    </row>
    <row r="1104" spans="2:6" x14ac:dyDescent="0.15">
      <c r="E1104" t="s">
        <v>975</v>
      </c>
      <c r="F1104" t="s">
        <v>124</v>
      </c>
    </row>
    <row r="1105" spans="2:6" x14ac:dyDescent="0.15">
      <c r="B1105" t="s">
        <v>1462</v>
      </c>
      <c r="D1105" t="s">
        <v>1463</v>
      </c>
      <c r="E1105" t="s">
        <v>1016</v>
      </c>
      <c r="F1105">
        <v>0</v>
      </c>
    </row>
    <row r="1106" spans="2:6" x14ac:dyDescent="0.15">
      <c r="E1106" t="s">
        <v>1445</v>
      </c>
      <c r="F1106">
        <v>1</v>
      </c>
    </row>
    <row r="1107" spans="2:6" x14ac:dyDescent="0.15">
      <c r="E1107" t="s">
        <v>972</v>
      </c>
      <c r="F1107">
        <v>9999</v>
      </c>
    </row>
    <row r="1108" spans="2:6" x14ac:dyDescent="0.15">
      <c r="E1108" t="s">
        <v>973</v>
      </c>
      <c r="F1108" t="s">
        <v>974</v>
      </c>
    </row>
    <row r="1109" spans="2:6" x14ac:dyDescent="0.15">
      <c r="E1109" t="s">
        <v>975</v>
      </c>
      <c r="F1109" t="s">
        <v>124</v>
      </c>
    </row>
    <row r="1110" spans="2:6" x14ac:dyDescent="0.15">
      <c r="B1110" t="s">
        <v>1464</v>
      </c>
      <c r="D1110" t="s">
        <v>1465</v>
      </c>
      <c r="E1110" t="s">
        <v>1016</v>
      </c>
      <c r="F1110">
        <v>0</v>
      </c>
    </row>
    <row r="1111" spans="2:6" x14ac:dyDescent="0.15">
      <c r="E1111" t="s">
        <v>1445</v>
      </c>
      <c r="F1111">
        <v>1</v>
      </c>
    </row>
    <row r="1112" spans="2:6" x14ac:dyDescent="0.15">
      <c r="E1112" t="s">
        <v>972</v>
      </c>
      <c r="F1112">
        <v>9999</v>
      </c>
    </row>
    <row r="1113" spans="2:6" x14ac:dyDescent="0.15">
      <c r="E1113" t="s">
        <v>973</v>
      </c>
      <c r="F1113" t="s">
        <v>974</v>
      </c>
    </row>
    <row r="1114" spans="2:6" x14ac:dyDescent="0.15">
      <c r="E1114" t="s">
        <v>975</v>
      </c>
      <c r="F1114" t="s">
        <v>124</v>
      </c>
    </row>
    <row r="1115" spans="2:6" x14ac:dyDescent="0.15">
      <c r="B1115" t="s">
        <v>1466</v>
      </c>
      <c r="D1115" t="s">
        <v>1467</v>
      </c>
      <c r="E1115" t="s">
        <v>1016</v>
      </c>
      <c r="F1115">
        <v>0</v>
      </c>
    </row>
    <row r="1116" spans="2:6" x14ac:dyDescent="0.15">
      <c r="E1116" t="s">
        <v>1445</v>
      </c>
      <c r="F1116">
        <v>1</v>
      </c>
    </row>
    <row r="1117" spans="2:6" x14ac:dyDescent="0.15">
      <c r="E1117" t="s">
        <v>972</v>
      </c>
      <c r="F1117">
        <v>9999</v>
      </c>
    </row>
    <row r="1118" spans="2:6" x14ac:dyDescent="0.15">
      <c r="E1118" t="s">
        <v>973</v>
      </c>
      <c r="F1118" t="s">
        <v>974</v>
      </c>
    </row>
    <row r="1119" spans="2:6" x14ac:dyDescent="0.15">
      <c r="E1119" t="s">
        <v>975</v>
      </c>
      <c r="F1119" t="s">
        <v>124</v>
      </c>
    </row>
    <row r="1120" spans="2:6" x14ac:dyDescent="0.15">
      <c r="B1120" t="s">
        <v>1468</v>
      </c>
      <c r="D1120" t="s">
        <v>1469</v>
      </c>
      <c r="E1120" t="s">
        <v>1016</v>
      </c>
      <c r="F1120">
        <v>0</v>
      </c>
    </row>
    <row r="1121" spans="2:6" x14ac:dyDescent="0.15">
      <c r="E1121" t="s">
        <v>1445</v>
      </c>
      <c r="F1121">
        <v>1</v>
      </c>
    </row>
    <row r="1122" spans="2:6" x14ac:dyDescent="0.15">
      <c r="E1122" t="s">
        <v>972</v>
      </c>
      <c r="F1122">
        <v>9999</v>
      </c>
    </row>
    <row r="1123" spans="2:6" x14ac:dyDescent="0.15">
      <c r="E1123" t="s">
        <v>973</v>
      </c>
      <c r="F1123" t="s">
        <v>974</v>
      </c>
    </row>
    <row r="1124" spans="2:6" x14ac:dyDescent="0.15">
      <c r="E1124" t="s">
        <v>975</v>
      </c>
      <c r="F1124" t="s">
        <v>124</v>
      </c>
    </row>
    <row r="1125" spans="2:6" x14ac:dyDescent="0.15">
      <c r="B1125" t="s">
        <v>1470</v>
      </c>
      <c r="D1125" t="s">
        <v>1471</v>
      </c>
      <c r="E1125" t="s">
        <v>1016</v>
      </c>
      <c r="F1125">
        <v>0</v>
      </c>
    </row>
    <row r="1126" spans="2:6" x14ac:dyDescent="0.15">
      <c r="E1126" t="s">
        <v>1445</v>
      </c>
      <c r="F1126">
        <v>1</v>
      </c>
    </row>
    <row r="1127" spans="2:6" x14ac:dyDescent="0.15">
      <c r="E1127" t="s">
        <v>972</v>
      </c>
      <c r="F1127">
        <v>9999</v>
      </c>
    </row>
    <row r="1128" spans="2:6" x14ac:dyDescent="0.15">
      <c r="E1128" t="s">
        <v>973</v>
      </c>
      <c r="F1128" t="s">
        <v>974</v>
      </c>
    </row>
    <row r="1129" spans="2:6" x14ac:dyDescent="0.15">
      <c r="E1129" t="s">
        <v>975</v>
      </c>
      <c r="F1129" t="s">
        <v>124</v>
      </c>
    </row>
    <row r="1130" spans="2:6" x14ac:dyDescent="0.15">
      <c r="B1130" t="s">
        <v>1472</v>
      </c>
      <c r="D1130" t="s">
        <v>1473</v>
      </c>
      <c r="E1130" t="s">
        <v>1016</v>
      </c>
      <c r="F1130">
        <v>0</v>
      </c>
    </row>
    <row r="1131" spans="2:6" x14ac:dyDescent="0.15">
      <c r="E1131" t="s">
        <v>1445</v>
      </c>
      <c r="F1131">
        <v>1</v>
      </c>
    </row>
    <row r="1132" spans="2:6" x14ac:dyDescent="0.15">
      <c r="E1132" t="s">
        <v>972</v>
      </c>
      <c r="F1132">
        <v>9999</v>
      </c>
    </row>
    <row r="1133" spans="2:6" x14ac:dyDescent="0.15">
      <c r="E1133" t="s">
        <v>973</v>
      </c>
      <c r="F1133" t="s">
        <v>974</v>
      </c>
    </row>
    <row r="1134" spans="2:6" x14ac:dyDescent="0.15">
      <c r="E1134" t="s">
        <v>975</v>
      </c>
      <c r="F1134" t="s">
        <v>124</v>
      </c>
    </row>
    <row r="1135" spans="2:6" x14ac:dyDescent="0.15">
      <c r="B1135" t="s">
        <v>1474</v>
      </c>
      <c r="D1135" t="s">
        <v>1475</v>
      </c>
      <c r="E1135" t="s">
        <v>1016</v>
      </c>
      <c r="F1135">
        <v>0</v>
      </c>
    </row>
    <row r="1136" spans="2:6" x14ac:dyDescent="0.15">
      <c r="E1136" t="s">
        <v>1445</v>
      </c>
      <c r="F1136">
        <v>1</v>
      </c>
    </row>
    <row r="1137" spans="2:6" x14ac:dyDescent="0.15">
      <c r="E1137" t="s">
        <v>972</v>
      </c>
      <c r="F1137">
        <v>9999</v>
      </c>
    </row>
    <row r="1138" spans="2:6" x14ac:dyDescent="0.15">
      <c r="E1138" t="s">
        <v>973</v>
      </c>
      <c r="F1138" t="s">
        <v>974</v>
      </c>
    </row>
    <row r="1139" spans="2:6" x14ac:dyDescent="0.15">
      <c r="E1139" t="s">
        <v>975</v>
      </c>
      <c r="F1139" t="s">
        <v>124</v>
      </c>
    </row>
    <row r="1140" spans="2:6" x14ac:dyDescent="0.15">
      <c r="B1140" t="s">
        <v>1476</v>
      </c>
      <c r="D1140" t="s">
        <v>1477</v>
      </c>
      <c r="E1140" t="s">
        <v>1025</v>
      </c>
      <c r="F1140">
        <v>0</v>
      </c>
    </row>
    <row r="1141" spans="2:6" x14ac:dyDescent="0.15">
      <c r="E1141" t="s">
        <v>1478</v>
      </c>
      <c r="F1141">
        <v>1</v>
      </c>
    </row>
    <row r="1142" spans="2:6" x14ac:dyDescent="0.15">
      <c r="E1142" t="s">
        <v>972</v>
      </c>
      <c r="F1142">
        <v>9999</v>
      </c>
    </row>
    <row r="1143" spans="2:6" x14ac:dyDescent="0.15">
      <c r="E1143" t="s">
        <v>973</v>
      </c>
      <c r="F1143" t="s">
        <v>974</v>
      </c>
    </row>
    <row r="1144" spans="2:6" x14ac:dyDescent="0.15">
      <c r="E1144" t="s">
        <v>975</v>
      </c>
      <c r="F1144" t="s">
        <v>124</v>
      </c>
    </row>
    <row r="1145" spans="2:6" x14ac:dyDescent="0.15">
      <c r="B1145" t="s">
        <v>1479</v>
      </c>
      <c r="D1145" t="s">
        <v>1480</v>
      </c>
      <c r="E1145" t="s">
        <v>1025</v>
      </c>
      <c r="F1145">
        <v>0</v>
      </c>
    </row>
    <row r="1146" spans="2:6" x14ac:dyDescent="0.15">
      <c r="E1146" t="s">
        <v>1478</v>
      </c>
      <c r="F1146">
        <v>1</v>
      </c>
    </row>
    <row r="1147" spans="2:6" x14ac:dyDescent="0.15">
      <c r="E1147" t="s">
        <v>972</v>
      </c>
      <c r="F1147">
        <v>9999</v>
      </c>
    </row>
    <row r="1148" spans="2:6" x14ac:dyDescent="0.15">
      <c r="E1148" t="s">
        <v>973</v>
      </c>
      <c r="F1148" t="s">
        <v>974</v>
      </c>
    </row>
    <row r="1149" spans="2:6" x14ac:dyDescent="0.15">
      <c r="E1149" t="s">
        <v>975</v>
      </c>
      <c r="F1149" t="s">
        <v>124</v>
      </c>
    </row>
    <row r="1150" spans="2:6" x14ac:dyDescent="0.15">
      <c r="B1150" t="s">
        <v>1481</v>
      </c>
      <c r="D1150" t="s">
        <v>1482</v>
      </c>
      <c r="E1150" t="s">
        <v>1025</v>
      </c>
      <c r="F1150">
        <v>0</v>
      </c>
    </row>
    <row r="1151" spans="2:6" x14ac:dyDescent="0.15">
      <c r="E1151" t="s">
        <v>1478</v>
      </c>
      <c r="F1151">
        <v>1</v>
      </c>
    </row>
    <row r="1152" spans="2:6" x14ac:dyDescent="0.15">
      <c r="E1152" t="s">
        <v>972</v>
      </c>
      <c r="F1152">
        <v>9999</v>
      </c>
    </row>
    <row r="1153" spans="2:6" x14ac:dyDescent="0.15">
      <c r="E1153" t="s">
        <v>973</v>
      </c>
      <c r="F1153" t="s">
        <v>974</v>
      </c>
    </row>
    <row r="1154" spans="2:6" x14ac:dyDescent="0.15">
      <c r="E1154" t="s">
        <v>975</v>
      </c>
      <c r="F1154" t="s">
        <v>124</v>
      </c>
    </row>
    <row r="1155" spans="2:6" x14ac:dyDescent="0.15">
      <c r="B1155" t="s">
        <v>1483</v>
      </c>
      <c r="D1155" t="s">
        <v>1484</v>
      </c>
      <c r="E1155" t="s">
        <v>1025</v>
      </c>
      <c r="F1155">
        <v>0</v>
      </c>
    </row>
    <row r="1156" spans="2:6" x14ac:dyDescent="0.15">
      <c r="E1156" t="s">
        <v>1478</v>
      </c>
      <c r="F1156">
        <v>1</v>
      </c>
    </row>
    <row r="1157" spans="2:6" x14ac:dyDescent="0.15">
      <c r="E1157" t="s">
        <v>972</v>
      </c>
      <c r="F1157">
        <v>9999</v>
      </c>
    </row>
    <row r="1158" spans="2:6" x14ac:dyDescent="0.15">
      <c r="E1158" t="s">
        <v>973</v>
      </c>
      <c r="F1158" t="s">
        <v>974</v>
      </c>
    </row>
    <row r="1159" spans="2:6" x14ac:dyDescent="0.15">
      <c r="E1159" t="s">
        <v>975</v>
      </c>
      <c r="F1159" t="s">
        <v>124</v>
      </c>
    </row>
    <row r="1160" spans="2:6" x14ac:dyDescent="0.15">
      <c r="B1160" t="s">
        <v>1485</v>
      </c>
      <c r="D1160" t="s">
        <v>1486</v>
      </c>
      <c r="E1160" t="s">
        <v>1025</v>
      </c>
      <c r="F1160">
        <v>0</v>
      </c>
    </row>
    <row r="1161" spans="2:6" x14ac:dyDescent="0.15">
      <c r="E1161" t="s">
        <v>1478</v>
      </c>
      <c r="F1161">
        <v>1</v>
      </c>
    </row>
    <row r="1162" spans="2:6" x14ac:dyDescent="0.15">
      <c r="E1162" t="s">
        <v>972</v>
      </c>
      <c r="F1162">
        <v>9999</v>
      </c>
    </row>
    <row r="1163" spans="2:6" x14ac:dyDescent="0.15">
      <c r="E1163" t="s">
        <v>973</v>
      </c>
      <c r="F1163" t="s">
        <v>974</v>
      </c>
    </row>
    <row r="1164" spans="2:6" x14ac:dyDescent="0.15">
      <c r="E1164" t="s">
        <v>975</v>
      </c>
      <c r="F1164" t="s">
        <v>124</v>
      </c>
    </row>
    <row r="1165" spans="2:6" x14ac:dyDescent="0.15">
      <c r="B1165" t="s">
        <v>1487</v>
      </c>
      <c r="D1165" t="s">
        <v>1488</v>
      </c>
      <c r="E1165" t="s">
        <v>1025</v>
      </c>
      <c r="F1165">
        <v>0</v>
      </c>
    </row>
    <row r="1166" spans="2:6" x14ac:dyDescent="0.15">
      <c r="E1166" t="s">
        <v>1478</v>
      </c>
      <c r="F1166">
        <v>1</v>
      </c>
    </row>
    <row r="1167" spans="2:6" x14ac:dyDescent="0.15">
      <c r="E1167" t="s">
        <v>972</v>
      </c>
      <c r="F1167">
        <v>9999</v>
      </c>
    </row>
    <row r="1168" spans="2:6" x14ac:dyDescent="0.15">
      <c r="E1168" t="s">
        <v>973</v>
      </c>
      <c r="F1168" t="s">
        <v>974</v>
      </c>
    </row>
    <row r="1169" spans="2:6" x14ac:dyDescent="0.15">
      <c r="E1169" t="s">
        <v>975</v>
      </c>
      <c r="F1169" t="s">
        <v>124</v>
      </c>
    </row>
    <row r="1170" spans="2:6" x14ac:dyDescent="0.15">
      <c r="B1170" t="s">
        <v>1489</v>
      </c>
      <c r="D1170" t="s">
        <v>1490</v>
      </c>
      <c r="E1170" t="s">
        <v>1025</v>
      </c>
      <c r="F1170">
        <v>0</v>
      </c>
    </row>
    <row r="1171" spans="2:6" x14ac:dyDescent="0.15">
      <c r="E1171" t="s">
        <v>1478</v>
      </c>
      <c r="F1171">
        <v>1</v>
      </c>
    </row>
    <row r="1172" spans="2:6" x14ac:dyDescent="0.15">
      <c r="E1172" t="s">
        <v>972</v>
      </c>
      <c r="F1172">
        <v>9999</v>
      </c>
    </row>
    <row r="1173" spans="2:6" x14ac:dyDescent="0.15">
      <c r="E1173" t="s">
        <v>973</v>
      </c>
      <c r="F1173" t="s">
        <v>974</v>
      </c>
    </row>
    <row r="1174" spans="2:6" x14ac:dyDescent="0.15">
      <c r="E1174" t="s">
        <v>975</v>
      </c>
      <c r="F1174" t="s">
        <v>124</v>
      </c>
    </row>
    <row r="1175" spans="2:6" x14ac:dyDescent="0.15">
      <c r="B1175" t="s">
        <v>1491</v>
      </c>
      <c r="D1175" t="s">
        <v>1492</v>
      </c>
      <c r="E1175" t="s">
        <v>1025</v>
      </c>
      <c r="F1175">
        <v>0</v>
      </c>
    </row>
    <row r="1176" spans="2:6" x14ac:dyDescent="0.15">
      <c r="E1176" t="s">
        <v>1478</v>
      </c>
      <c r="F1176">
        <v>1</v>
      </c>
    </row>
    <row r="1177" spans="2:6" x14ac:dyDescent="0.15">
      <c r="E1177" t="s">
        <v>972</v>
      </c>
      <c r="F1177">
        <v>9999</v>
      </c>
    </row>
    <row r="1178" spans="2:6" x14ac:dyDescent="0.15">
      <c r="E1178" t="s">
        <v>973</v>
      </c>
      <c r="F1178" t="s">
        <v>974</v>
      </c>
    </row>
    <row r="1179" spans="2:6" x14ac:dyDescent="0.15">
      <c r="E1179" t="s">
        <v>975</v>
      </c>
      <c r="F1179" t="s">
        <v>124</v>
      </c>
    </row>
    <row r="1180" spans="2:6" x14ac:dyDescent="0.15">
      <c r="B1180" t="s">
        <v>1493</v>
      </c>
      <c r="D1180" t="s">
        <v>1494</v>
      </c>
      <c r="E1180" t="s">
        <v>1025</v>
      </c>
      <c r="F1180">
        <v>0</v>
      </c>
    </row>
    <row r="1181" spans="2:6" x14ac:dyDescent="0.15">
      <c r="E1181" t="s">
        <v>1478</v>
      </c>
      <c r="F1181">
        <v>1</v>
      </c>
    </row>
    <row r="1182" spans="2:6" x14ac:dyDescent="0.15">
      <c r="E1182" t="s">
        <v>972</v>
      </c>
      <c r="F1182">
        <v>9999</v>
      </c>
    </row>
    <row r="1183" spans="2:6" x14ac:dyDescent="0.15">
      <c r="E1183" t="s">
        <v>973</v>
      </c>
      <c r="F1183" t="s">
        <v>974</v>
      </c>
    </row>
    <row r="1184" spans="2:6" x14ac:dyDescent="0.15">
      <c r="E1184" t="s">
        <v>975</v>
      </c>
      <c r="F1184" t="s">
        <v>124</v>
      </c>
    </row>
    <row r="1185" spans="2:6" x14ac:dyDescent="0.15">
      <c r="B1185" t="s">
        <v>1495</v>
      </c>
      <c r="D1185" t="s">
        <v>1496</v>
      </c>
      <c r="E1185" t="s">
        <v>1025</v>
      </c>
      <c r="F1185">
        <v>0</v>
      </c>
    </row>
    <row r="1186" spans="2:6" x14ac:dyDescent="0.15">
      <c r="E1186" t="s">
        <v>1478</v>
      </c>
      <c r="F1186">
        <v>1</v>
      </c>
    </row>
    <row r="1187" spans="2:6" x14ac:dyDescent="0.15">
      <c r="E1187" t="s">
        <v>972</v>
      </c>
      <c r="F1187">
        <v>9999</v>
      </c>
    </row>
    <row r="1188" spans="2:6" x14ac:dyDescent="0.15">
      <c r="E1188" t="s">
        <v>973</v>
      </c>
      <c r="F1188" t="s">
        <v>974</v>
      </c>
    </row>
    <row r="1189" spans="2:6" x14ac:dyDescent="0.15">
      <c r="E1189" t="s">
        <v>975</v>
      </c>
      <c r="F1189" t="s">
        <v>124</v>
      </c>
    </row>
    <row r="1190" spans="2:6" x14ac:dyDescent="0.15">
      <c r="B1190" t="s">
        <v>1497</v>
      </c>
      <c r="D1190" t="s">
        <v>1498</v>
      </c>
      <c r="E1190" t="s">
        <v>1025</v>
      </c>
      <c r="F1190">
        <v>0</v>
      </c>
    </row>
    <row r="1191" spans="2:6" x14ac:dyDescent="0.15">
      <c r="E1191" t="s">
        <v>1478</v>
      </c>
      <c r="F1191">
        <v>1</v>
      </c>
    </row>
    <row r="1192" spans="2:6" x14ac:dyDescent="0.15">
      <c r="E1192" t="s">
        <v>972</v>
      </c>
      <c r="F1192">
        <v>9999</v>
      </c>
    </row>
    <row r="1193" spans="2:6" x14ac:dyDescent="0.15">
      <c r="E1193" t="s">
        <v>973</v>
      </c>
      <c r="F1193" t="s">
        <v>974</v>
      </c>
    </row>
    <row r="1194" spans="2:6" x14ac:dyDescent="0.15">
      <c r="E1194" t="s">
        <v>975</v>
      </c>
      <c r="F1194" t="s">
        <v>124</v>
      </c>
    </row>
    <row r="1195" spans="2:6" x14ac:dyDescent="0.15">
      <c r="B1195" t="s">
        <v>1499</v>
      </c>
      <c r="D1195" t="s">
        <v>1500</v>
      </c>
      <c r="E1195" t="s">
        <v>1025</v>
      </c>
      <c r="F1195">
        <v>0</v>
      </c>
    </row>
    <row r="1196" spans="2:6" x14ac:dyDescent="0.15">
      <c r="E1196" t="s">
        <v>1478</v>
      </c>
      <c r="F1196">
        <v>1</v>
      </c>
    </row>
    <row r="1197" spans="2:6" x14ac:dyDescent="0.15">
      <c r="E1197" t="s">
        <v>972</v>
      </c>
      <c r="F1197">
        <v>9999</v>
      </c>
    </row>
    <row r="1198" spans="2:6" x14ac:dyDescent="0.15">
      <c r="E1198" t="s">
        <v>973</v>
      </c>
      <c r="F1198" t="s">
        <v>974</v>
      </c>
    </row>
    <row r="1199" spans="2:6" x14ac:dyDescent="0.15">
      <c r="E1199" t="s">
        <v>975</v>
      </c>
      <c r="F1199" t="s">
        <v>124</v>
      </c>
    </row>
    <row r="1200" spans="2:6" x14ac:dyDescent="0.15">
      <c r="B1200" t="s">
        <v>1501</v>
      </c>
      <c r="D1200" t="s">
        <v>1502</v>
      </c>
      <c r="E1200" t="s">
        <v>1025</v>
      </c>
      <c r="F1200">
        <v>0</v>
      </c>
    </row>
    <row r="1201" spans="2:6" x14ac:dyDescent="0.15">
      <c r="E1201" t="s">
        <v>1478</v>
      </c>
      <c r="F1201">
        <v>1</v>
      </c>
    </row>
    <row r="1202" spans="2:6" x14ac:dyDescent="0.15">
      <c r="E1202" t="s">
        <v>972</v>
      </c>
      <c r="F1202">
        <v>9999</v>
      </c>
    </row>
    <row r="1203" spans="2:6" x14ac:dyDescent="0.15">
      <c r="E1203" t="s">
        <v>973</v>
      </c>
      <c r="F1203" t="s">
        <v>974</v>
      </c>
    </row>
    <row r="1204" spans="2:6" x14ac:dyDescent="0.15">
      <c r="E1204" t="s">
        <v>975</v>
      </c>
      <c r="F1204" t="s">
        <v>124</v>
      </c>
    </row>
    <row r="1205" spans="2:6" x14ac:dyDescent="0.15">
      <c r="B1205" t="s">
        <v>1503</v>
      </c>
      <c r="D1205" t="s">
        <v>1504</v>
      </c>
      <c r="E1205" t="s">
        <v>1025</v>
      </c>
      <c r="F1205">
        <v>0</v>
      </c>
    </row>
    <row r="1206" spans="2:6" x14ac:dyDescent="0.15">
      <c r="E1206" t="s">
        <v>1478</v>
      </c>
      <c r="F1206">
        <v>1</v>
      </c>
    </row>
    <row r="1207" spans="2:6" x14ac:dyDescent="0.15">
      <c r="E1207" t="s">
        <v>972</v>
      </c>
      <c r="F1207">
        <v>9999</v>
      </c>
    </row>
    <row r="1208" spans="2:6" x14ac:dyDescent="0.15">
      <c r="E1208" t="s">
        <v>973</v>
      </c>
      <c r="F1208" t="s">
        <v>974</v>
      </c>
    </row>
    <row r="1209" spans="2:6" x14ac:dyDescent="0.15">
      <c r="E1209" t="s">
        <v>975</v>
      </c>
      <c r="F1209" t="s">
        <v>124</v>
      </c>
    </row>
    <row r="1210" spans="2:6" x14ac:dyDescent="0.15">
      <c r="B1210" t="s">
        <v>1505</v>
      </c>
      <c r="D1210" t="s">
        <v>1506</v>
      </c>
      <c r="E1210" t="s">
        <v>1025</v>
      </c>
      <c r="F1210">
        <v>0</v>
      </c>
    </row>
    <row r="1211" spans="2:6" x14ac:dyDescent="0.15">
      <c r="E1211" t="s">
        <v>1478</v>
      </c>
      <c r="F1211">
        <v>1</v>
      </c>
    </row>
    <row r="1212" spans="2:6" x14ac:dyDescent="0.15">
      <c r="E1212" t="s">
        <v>972</v>
      </c>
      <c r="F1212">
        <v>9999</v>
      </c>
    </row>
    <row r="1213" spans="2:6" x14ac:dyDescent="0.15">
      <c r="E1213" t="s">
        <v>973</v>
      </c>
      <c r="F1213" t="s">
        <v>974</v>
      </c>
    </row>
    <row r="1214" spans="2:6" x14ac:dyDescent="0.15">
      <c r="E1214" t="s">
        <v>975</v>
      </c>
      <c r="F1214" t="s">
        <v>124</v>
      </c>
    </row>
    <row r="1215" spans="2:6" x14ac:dyDescent="0.15">
      <c r="B1215" t="s">
        <v>1507</v>
      </c>
      <c r="D1215" t="s">
        <v>1508</v>
      </c>
      <c r="E1215" t="s">
        <v>1025</v>
      </c>
      <c r="F1215">
        <v>0</v>
      </c>
    </row>
    <row r="1216" spans="2:6" x14ac:dyDescent="0.15">
      <c r="E1216" t="s">
        <v>1478</v>
      </c>
      <c r="F1216">
        <v>1</v>
      </c>
    </row>
    <row r="1217" spans="2:6" x14ac:dyDescent="0.15">
      <c r="E1217" t="s">
        <v>972</v>
      </c>
      <c r="F1217">
        <v>9999</v>
      </c>
    </row>
    <row r="1218" spans="2:6" x14ac:dyDescent="0.15">
      <c r="E1218" t="s">
        <v>973</v>
      </c>
      <c r="F1218" t="s">
        <v>974</v>
      </c>
    </row>
    <row r="1219" spans="2:6" x14ac:dyDescent="0.15">
      <c r="E1219" t="s">
        <v>975</v>
      </c>
      <c r="F1219" t="s">
        <v>124</v>
      </c>
    </row>
    <row r="1220" spans="2:6" x14ac:dyDescent="0.15">
      <c r="B1220" t="s">
        <v>1509</v>
      </c>
      <c r="D1220" t="s">
        <v>1510</v>
      </c>
      <c r="E1220" t="s">
        <v>1025</v>
      </c>
      <c r="F1220">
        <v>0</v>
      </c>
    </row>
    <row r="1221" spans="2:6" x14ac:dyDescent="0.15">
      <c r="E1221" t="s">
        <v>1478</v>
      </c>
      <c r="F1221">
        <v>1</v>
      </c>
    </row>
    <row r="1222" spans="2:6" x14ac:dyDescent="0.15">
      <c r="E1222" t="s">
        <v>972</v>
      </c>
      <c r="F1222">
        <v>9999</v>
      </c>
    </row>
    <row r="1223" spans="2:6" x14ac:dyDescent="0.15">
      <c r="E1223" t="s">
        <v>973</v>
      </c>
      <c r="F1223" t="s">
        <v>974</v>
      </c>
    </row>
    <row r="1224" spans="2:6" x14ac:dyDescent="0.15">
      <c r="E1224" t="s">
        <v>975</v>
      </c>
      <c r="F1224" t="s">
        <v>124</v>
      </c>
    </row>
    <row r="1225" spans="2:6" x14ac:dyDescent="0.15">
      <c r="B1225" t="s">
        <v>1511</v>
      </c>
      <c r="D1225" t="s">
        <v>1512</v>
      </c>
      <c r="E1225" t="s">
        <v>1025</v>
      </c>
      <c r="F1225">
        <v>0</v>
      </c>
    </row>
    <row r="1226" spans="2:6" x14ac:dyDescent="0.15">
      <c r="E1226" t="s">
        <v>1478</v>
      </c>
      <c r="F1226">
        <v>1</v>
      </c>
    </row>
    <row r="1227" spans="2:6" x14ac:dyDescent="0.15">
      <c r="E1227" t="s">
        <v>972</v>
      </c>
      <c r="F1227">
        <v>9999</v>
      </c>
    </row>
    <row r="1228" spans="2:6" x14ac:dyDescent="0.15">
      <c r="E1228" t="s">
        <v>973</v>
      </c>
      <c r="F1228" t="s">
        <v>974</v>
      </c>
    </row>
    <row r="1229" spans="2:6" x14ac:dyDescent="0.15">
      <c r="E1229" t="s">
        <v>975</v>
      </c>
      <c r="F1229" t="s">
        <v>124</v>
      </c>
    </row>
    <row r="1230" spans="2:6" x14ac:dyDescent="0.15">
      <c r="B1230" t="s">
        <v>1513</v>
      </c>
      <c r="D1230" t="s">
        <v>1514</v>
      </c>
      <c r="E1230" t="s">
        <v>1025</v>
      </c>
      <c r="F1230">
        <v>0</v>
      </c>
    </row>
    <row r="1231" spans="2:6" x14ac:dyDescent="0.15">
      <c r="E1231" t="s">
        <v>1478</v>
      </c>
      <c r="F1231">
        <v>1</v>
      </c>
    </row>
    <row r="1232" spans="2:6" x14ac:dyDescent="0.15">
      <c r="E1232" t="s">
        <v>972</v>
      </c>
      <c r="F1232">
        <v>9999</v>
      </c>
    </row>
    <row r="1233" spans="2:6" x14ac:dyDescent="0.15">
      <c r="E1233" t="s">
        <v>973</v>
      </c>
      <c r="F1233" t="s">
        <v>974</v>
      </c>
    </row>
    <row r="1234" spans="2:6" x14ac:dyDescent="0.15">
      <c r="E1234" t="s">
        <v>975</v>
      </c>
      <c r="F1234" t="s">
        <v>124</v>
      </c>
    </row>
    <row r="1235" spans="2:6" x14ac:dyDescent="0.15">
      <c r="B1235" t="s">
        <v>1515</v>
      </c>
      <c r="D1235" t="s">
        <v>1516</v>
      </c>
      <c r="E1235" t="s">
        <v>1016</v>
      </c>
      <c r="F1235">
        <v>0</v>
      </c>
    </row>
    <row r="1236" spans="2:6" x14ac:dyDescent="0.15">
      <c r="E1236" t="s">
        <v>1445</v>
      </c>
      <c r="F1236">
        <v>1</v>
      </c>
    </row>
    <row r="1237" spans="2:6" x14ac:dyDescent="0.15">
      <c r="E1237" t="s">
        <v>972</v>
      </c>
      <c r="F1237">
        <v>9999</v>
      </c>
    </row>
    <row r="1238" spans="2:6" x14ac:dyDescent="0.15">
      <c r="E1238" t="s">
        <v>973</v>
      </c>
      <c r="F1238" t="s">
        <v>974</v>
      </c>
    </row>
    <row r="1239" spans="2:6" x14ac:dyDescent="0.15">
      <c r="E1239" t="s">
        <v>975</v>
      </c>
      <c r="F1239" t="s">
        <v>124</v>
      </c>
    </row>
    <row r="1240" spans="2:6" x14ac:dyDescent="0.15">
      <c r="B1240" t="s">
        <v>1517</v>
      </c>
      <c r="D1240" t="s">
        <v>1518</v>
      </c>
      <c r="E1240" t="s">
        <v>1025</v>
      </c>
      <c r="F1240">
        <v>0</v>
      </c>
    </row>
    <row r="1241" spans="2:6" x14ac:dyDescent="0.15">
      <c r="E1241" t="s">
        <v>1519</v>
      </c>
      <c r="F1241">
        <v>1</v>
      </c>
    </row>
    <row r="1242" spans="2:6" x14ac:dyDescent="0.15">
      <c r="E1242" t="s">
        <v>1520</v>
      </c>
      <c r="F1242">
        <v>2</v>
      </c>
    </row>
    <row r="1243" spans="2:6" x14ac:dyDescent="0.15">
      <c r="E1243" t="s">
        <v>1521</v>
      </c>
      <c r="F1243">
        <v>3</v>
      </c>
    </row>
    <row r="1244" spans="2:6" x14ac:dyDescent="0.15">
      <c r="E1244" t="s">
        <v>1522</v>
      </c>
      <c r="F1244">
        <v>4</v>
      </c>
    </row>
    <row r="1245" spans="2:6" x14ac:dyDescent="0.15">
      <c r="E1245" t="s">
        <v>972</v>
      </c>
      <c r="F1245">
        <v>9999</v>
      </c>
    </row>
    <row r="1246" spans="2:6" x14ac:dyDescent="0.15">
      <c r="E1246" t="s">
        <v>973</v>
      </c>
      <c r="F1246" t="s">
        <v>974</v>
      </c>
    </row>
    <row r="1247" spans="2:6" x14ac:dyDescent="0.15">
      <c r="E1247" t="s">
        <v>975</v>
      </c>
      <c r="F1247" t="s">
        <v>124</v>
      </c>
    </row>
    <row r="1248" spans="2:6" x14ac:dyDescent="0.15">
      <c r="B1248" t="s">
        <v>1523</v>
      </c>
      <c r="D1248" t="s">
        <v>1524</v>
      </c>
      <c r="E1248" t="s">
        <v>1025</v>
      </c>
      <c r="F1248">
        <v>0</v>
      </c>
    </row>
    <row r="1249" spans="2:6" x14ac:dyDescent="0.15">
      <c r="E1249" t="s">
        <v>1519</v>
      </c>
      <c r="F1249">
        <v>1</v>
      </c>
    </row>
    <row r="1250" spans="2:6" x14ac:dyDescent="0.15">
      <c r="E1250" t="s">
        <v>1520</v>
      </c>
      <c r="F1250">
        <v>2</v>
      </c>
    </row>
    <row r="1251" spans="2:6" x14ac:dyDescent="0.15">
      <c r="E1251" t="s">
        <v>1521</v>
      </c>
      <c r="F1251">
        <v>3</v>
      </c>
    </row>
    <row r="1252" spans="2:6" x14ac:dyDescent="0.15">
      <c r="E1252" t="s">
        <v>1522</v>
      </c>
      <c r="F1252">
        <v>4</v>
      </c>
    </row>
    <row r="1253" spans="2:6" x14ac:dyDescent="0.15">
      <c r="E1253" t="s">
        <v>972</v>
      </c>
      <c r="F1253">
        <v>9999</v>
      </c>
    </row>
    <row r="1254" spans="2:6" x14ac:dyDescent="0.15">
      <c r="E1254" t="s">
        <v>973</v>
      </c>
      <c r="F1254" t="s">
        <v>974</v>
      </c>
    </row>
    <row r="1255" spans="2:6" x14ac:dyDescent="0.15">
      <c r="E1255" t="s">
        <v>975</v>
      </c>
      <c r="F1255" t="s">
        <v>124</v>
      </c>
    </row>
    <row r="1256" spans="2:6" x14ac:dyDescent="0.15">
      <c r="B1256" t="s">
        <v>1525</v>
      </c>
      <c r="D1256" t="s">
        <v>1526</v>
      </c>
      <c r="E1256" t="s">
        <v>1025</v>
      </c>
      <c r="F1256">
        <v>0</v>
      </c>
    </row>
    <row r="1257" spans="2:6" x14ac:dyDescent="0.15">
      <c r="E1257" t="s">
        <v>1519</v>
      </c>
      <c r="F1257">
        <v>1</v>
      </c>
    </row>
    <row r="1258" spans="2:6" x14ac:dyDescent="0.15">
      <c r="E1258" t="s">
        <v>1520</v>
      </c>
      <c r="F1258">
        <v>2</v>
      </c>
    </row>
    <row r="1259" spans="2:6" x14ac:dyDescent="0.15">
      <c r="E1259" t="s">
        <v>1521</v>
      </c>
      <c r="F1259">
        <v>3</v>
      </c>
    </row>
    <row r="1260" spans="2:6" x14ac:dyDescent="0.15">
      <c r="E1260" t="s">
        <v>1522</v>
      </c>
      <c r="F1260">
        <v>4</v>
      </c>
    </row>
    <row r="1261" spans="2:6" x14ac:dyDescent="0.15">
      <c r="E1261" t="s">
        <v>972</v>
      </c>
      <c r="F1261">
        <v>9999</v>
      </c>
    </row>
    <row r="1262" spans="2:6" x14ac:dyDescent="0.15">
      <c r="E1262" t="s">
        <v>973</v>
      </c>
      <c r="F1262" t="s">
        <v>974</v>
      </c>
    </row>
    <row r="1263" spans="2:6" x14ac:dyDescent="0.15">
      <c r="E1263" t="s">
        <v>975</v>
      </c>
      <c r="F1263" t="s">
        <v>124</v>
      </c>
    </row>
    <row r="1264" spans="2:6" x14ac:dyDescent="0.15">
      <c r="B1264" t="s">
        <v>1527</v>
      </c>
      <c r="D1264" t="s">
        <v>1528</v>
      </c>
      <c r="E1264" t="s">
        <v>1025</v>
      </c>
      <c r="F1264">
        <v>0</v>
      </c>
    </row>
    <row r="1265" spans="2:6" x14ac:dyDescent="0.15">
      <c r="E1265" t="s">
        <v>1519</v>
      </c>
      <c r="F1265">
        <v>1</v>
      </c>
    </row>
    <row r="1266" spans="2:6" x14ac:dyDescent="0.15">
      <c r="E1266" t="s">
        <v>1520</v>
      </c>
      <c r="F1266">
        <v>2</v>
      </c>
    </row>
    <row r="1267" spans="2:6" x14ac:dyDescent="0.15">
      <c r="E1267" t="s">
        <v>1521</v>
      </c>
      <c r="F1267">
        <v>3</v>
      </c>
    </row>
    <row r="1268" spans="2:6" x14ac:dyDescent="0.15">
      <c r="E1268" t="s">
        <v>1522</v>
      </c>
      <c r="F1268">
        <v>4</v>
      </c>
    </row>
    <row r="1269" spans="2:6" x14ac:dyDescent="0.15">
      <c r="E1269" t="s">
        <v>972</v>
      </c>
      <c r="F1269">
        <v>9999</v>
      </c>
    </row>
    <row r="1270" spans="2:6" x14ac:dyDescent="0.15">
      <c r="E1270" t="s">
        <v>973</v>
      </c>
      <c r="F1270" t="s">
        <v>974</v>
      </c>
    </row>
    <row r="1271" spans="2:6" x14ac:dyDescent="0.15">
      <c r="E1271" t="s">
        <v>975</v>
      </c>
      <c r="F1271" t="s">
        <v>124</v>
      </c>
    </row>
    <row r="1272" spans="2:6" x14ac:dyDescent="0.15">
      <c r="B1272" t="s">
        <v>1529</v>
      </c>
      <c r="D1272" t="s">
        <v>1530</v>
      </c>
      <c r="E1272" t="s">
        <v>1025</v>
      </c>
      <c r="F1272">
        <v>0</v>
      </c>
    </row>
    <row r="1273" spans="2:6" x14ac:dyDescent="0.15">
      <c r="E1273" t="s">
        <v>1519</v>
      </c>
      <c r="F1273">
        <v>1</v>
      </c>
    </row>
    <row r="1274" spans="2:6" x14ac:dyDescent="0.15">
      <c r="E1274" t="s">
        <v>1520</v>
      </c>
      <c r="F1274">
        <v>2</v>
      </c>
    </row>
    <row r="1275" spans="2:6" x14ac:dyDescent="0.15">
      <c r="E1275" t="s">
        <v>1521</v>
      </c>
      <c r="F1275">
        <v>3</v>
      </c>
    </row>
    <row r="1276" spans="2:6" x14ac:dyDescent="0.15">
      <c r="E1276" t="s">
        <v>1522</v>
      </c>
      <c r="F1276">
        <v>4</v>
      </c>
    </row>
    <row r="1277" spans="2:6" x14ac:dyDescent="0.15">
      <c r="E1277" t="s">
        <v>972</v>
      </c>
      <c r="F1277">
        <v>9999</v>
      </c>
    </row>
    <row r="1278" spans="2:6" x14ac:dyDescent="0.15">
      <c r="E1278" t="s">
        <v>973</v>
      </c>
      <c r="F1278" t="s">
        <v>974</v>
      </c>
    </row>
    <row r="1279" spans="2:6" x14ac:dyDescent="0.15">
      <c r="E1279" t="s">
        <v>975</v>
      </c>
      <c r="F1279" t="s">
        <v>124</v>
      </c>
    </row>
    <row r="1280" spans="2:6" x14ac:dyDescent="0.15">
      <c r="B1280" t="s">
        <v>1531</v>
      </c>
      <c r="D1280" t="s">
        <v>1532</v>
      </c>
      <c r="E1280" t="s">
        <v>1025</v>
      </c>
      <c r="F1280">
        <v>0</v>
      </c>
    </row>
    <row r="1281" spans="2:6" x14ac:dyDescent="0.15">
      <c r="E1281" t="s">
        <v>1519</v>
      </c>
      <c r="F1281">
        <v>1</v>
      </c>
    </row>
    <row r="1282" spans="2:6" x14ac:dyDescent="0.15">
      <c r="E1282" t="s">
        <v>1520</v>
      </c>
      <c r="F1282">
        <v>2</v>
      </c>
    </row>
    <row r="1283" spans="2:6" x14ac:dyDescent="0.15">
      <c r="E1283" t="s">
        <v>1521</v>
      </c>
      <c r="F1283">
        <v>3</v>
      </c>
    </row>
    <row r="1284" spans="2:6" x14ac:dyDescent="0.15">
      <c r="E1284" t="s">
        <v>1522</v>
      </c>
      <c r="F1284">
        <v>4</v>
      </c>
    </row>
    <row r="1285" spans="2:6" x14ac:dyDescent="0.15">
      <c r="E1285" t="s">
        <v>972</v>
      </c>
      <c r="F1285">
        <v>9999</v>
      </c>
    </row>
    <row r="1286" spans="2:6" x14ac:dyDescent="0.15">
      <c r="E1286" t="s">
        <v>973</v>
      </c>
      <c r="F1286" t="s">
        <v>974</v>
      </c>
    </row>
    <row r="1287" spans="2:6" x14ac:dyDescent="0.15">
      <c r="E1287" t="s">
        <v>975</v>
      </c>
      <c r="F1287" t="s">
        <v>124</v>
      </c>
    </row>
    <row r="1288" spans="2:6" x14ac:dyDescent="0.15">
      <c r="B1288" t="s">
        <v>1533</v>
      </c>
      <c r="D1288" t="s">
        <v>1534</v>
      </c>
      <c r="E1288" t="s">
        <v>1025</v>
      </c>
      <c r="F1288">
        <v>0</v>
      </c>
    </row>
    <row r="1289" spans="2:6" x14ac:dyDescent="0.15">
      <c r="E1289" t="s">
        <v>1478</v>
      </c>
      <c r="F1289">
        <v>1</v>
      </c>
    </row>
    <row r="1290" spans="2:6" x14ac:dyDescent="0.15">
      <c r="E1290" t="s">
        <v>972</v>
      </c>
      <c r="F1290">
        <v>9999</v>
      </c>
    </row>
    <row r="1291" spans="2:6" x14ac:dyDescent="0.15">
      <c r="E1291" t="s">
        <v>973</v>
      </c>
      <c r="F1291" t="s">
        <v>974</v>
      </c>
    </row>
    <row r="1292" spans="2:6" x14ac:dyDescent="0.15">
      <c r="E1292" t="s">
        <v>975</v>
      </c>
      <c r="F1292" t="s">
        <v>124</v>
      </c>
    </row>
    <row r="1293" spans="2:6" x14ac:dyDescent="0.15">
      <c r="B1293" t="s">
        <v>1535</v>
      </c>
      <c r="D1293" t="s">
        <v>1536</v>
      </c>
      <c r="E1293" t="s">
        <v>1025</v>
      </c>
      <c r="F1293">
        <v>0</v>
      </c>
    </row>
    <row r="1294" spans="2:6" x14ac:dyDescent="0.15">
      <c r="E1294" t="s">
        <v>1478</v>
      </c>
      <c r="F1294">
        <v>1</v>
      </c>
    </row>
    <row r="1295" spans="2:6" x14ac:dyDescent="0.15">
      <c r="E1295" t="s">
        <v>972</v>
      </c>
      <c r="F1295">
        <v>9999</v>
      </c>
    </row>
    <row r="1296" spans="2:6" x14ac:dyDescent="0.15">
      <c r="E1296" t="s">
        <v>973</v>
      </c>
      <c r="F1296" t="s">
        <v>974</v>
      </c>
    </row>
    <row r="1297" spans="2:6" x14ac:dyDescent="0.15">
      <c r="E1297" t="s">
        <v>975</v>
      </c>
      <c r="F1297" t="s">
        <v>124</v>
      </c>
    </row>
    <row r="1298" spans="2:6" x14ac:dyDescent="0.15">
      <c r="B1298" t="s">
        <v>1537</v>
      </c>
      <c r="D1298" t="s">
        <v>1538</v>
      </c>
      <c r="E1298" t="s">
        <v>1016</v>
      </c>
      <c r="F1298">
        <v>0</v>
      </c>
    </row>
    <row r="1299" spans="2:6" x14ac:dyDescent="0.15">
      <c r="E1299" t="s">
        <v>1445</v>
      </c>
      <c r="F1299">
        <v>1</v>
      </c>
    </row>
    <row r="1300" spans="2:6" x14ac:dyDescent="0.15">
      <c r="E1300" t="s">
        <v>972</v>
      </c>
      <c r="F1300">
        <v>9999</v>
      </c>
    </row>
    <row r="1301" spans="2:6" x14ac:dyDescent="0.15">
      <c r="E1301" t="s">
        <v>973</v>
      </c>
      <c r="F1301" t="s">
        <v>974</v>
      </c>
    </row>
    <row r="1302" spans="2:6" x14ac:dyDescent="0.15">
      <c r="E1302" t="s">
        <v>975</v>
      </c>
      <c r="F1302" t="s">
        <v>124</v>
      </c>
    </row>
    <row r="1303" spans="2:6" x14ac:dyDescent="0.15">
      <c r="B1303" t="s">
        <v>1539</v>
      </c>
      <c r="D1303" t="s">
        <v>1540</v>
      </c>
      <c r="E1303" t="s">
        <v>1016</v>
      </c>
      <c r="F1303">
        <v>0</v>
      </c>
    </row>
    <row r="1304" spans="2:6" x14ac:dyDescent="0.15">
      <c r="E1304" t="s">
        <v>1445</v>
      </c>
      <c r="F1304">
        <v>1</v>
      </c>
    </row>
    <row r="1305" spans="2:6" x14ac:dyDescent="0.15">
      <c r="E1305" t="s">
        <v>972</v>
      </c>
      <c r="F1305">
        <v>9999</v>
      </c>
    </row>
    <row r="1306" spans="2:6" x14ac:dyDescent="0.15">
      <c r="E1306" t="s">
        <v>973</v>
      </c>
      <c r="F1306" t="s">
        <v>974</v>
      </c>
    </row>
    <row r="1307" spans="2:6" x14ac:dyDescent="0.15">
      <c r="E1307" t="s">
        <v>975</v>
      </c>
      <c r="F1307" t="s">
        <v>124</v>
      </c>
    </row>
    <row r="1308" spans="2:6" x14ac:dyDescent="0.15">
      <c r="B1308" t="s">
        <v>1541</v>
      </c>
      <c r="D1308" t="s">
        <v>1542</v>
      </c>
      <c r="E1308" t="s">
        <v>1016</v>
      </c>
      <c r="F1308">
        <v>0</v>
      </c>
    </row>
    <row r="1309" spans="2:6" x14ac:dyDescent="0.15">
      <c r="E1309" t="s">
        <v>1445</v>
      </c>
      <c r="F1309">
        <v>1</v>
      </c>
    </row>
    <row r="1310" spans="2:6" x14ac:dyDescent="0.15">
      <c r="E1310" t="s">
        <v>972</v>
      </c>
      <c r="F1310">
        <v>9999</v>
      </c>
    </row>
    <row r="1311" spans="2:6" x14ac:dyDescent="0.15">
      <c r="E1311" t="s">
        <v>973</v>
      </c>
      <c r="F1311" t="s">
        <v>974</v>
      </c>
    </row>
    <row r="1312" spans="2:6" x14ac:dyDescent="0.15">
      <c r="E1312" t="s">
        <v>975</v>
      </c>
      <c r="F1312" t="s">
        <v>124</v>
      </c>
    </row>
    <row r="1313" spans="2:6" x14ac:dyDescent="0.15">
      <c r="B1313" t="s">
        <v>1543</v>
      </c>
      <c r="D1313" t="s">
        <v>1544</v>
      </c>
      <c r="E1313" t="s">
        <v>1016</v>
      </c>
      <c r="F1313">
        <v>0</v>
      </c>
    </row>
    <row r="1314" spans="2:6" x14ac:dyDescent="0.15">
      <c r="E1314" t="s">
        <v>1445</v>
      </c>
      <c r="F1314">
        <v>1</v>
      </c>
    </row>
    <row r="1315" spans="2:6" x14ac:dyDescent="0.15">
      <c r="E1315" t="s">
        <v>972</v>
      </c>
      <c r="F1315">
        <v>9999</v>
      </c>
    </row>
    <row r="1316" spans="2:6" x14ac:dyDescent="0.15">
      <c r="E1316" t="s">
        <v>973</v>
      </c>
      <c r="F1316" t="s">
        <v>974</v>
      </c>
    </row>
    <row r="1317" spans="2:6" x14ac:dyDescent="0.15">
      <c r="E1317" t="s">
        <v>975</v>
      </c>
      <c r="F1317" t="s">
        <v>124</v>
      </c>
    </row>
    <row r="1318" spans="2:6" x14ac:dyDescent="0.15">
      <c r="B1318" t="s">
        <v>1545</v>
      </c>
      <c r="D1318" t="s">
        <v>1546</v>
      </c>
      <c r="E1318" t="s">
        <v>1016</v>
      </c>
      <c r="F1318">
        <v>0</v>
      </c>
    </row>
    <row r="1319" spans="2:6" x14ac:dyDescent="0.15">
      <c r="E1319" t="s">
        <v>1445</v>
      </c>
      <c r="F1319">
        <v>1</v>
      </c>
    </row>
    <row r="1320" spans="2:6" x14ac:dyDescent="0.15">
      <c r="E1320" t="s">
        <v>972</v>
      </c>
      <c r="F1320">
        <v>9999</v>
      </c>
    </row>
    <row r="1321" spans="2:6" x14ac:dyDescent="0.15">
      <c r="E1321" t="s">
        <v>973</v>
      </c>
      <c r="F1321" t="s">
        <v>974</v>
      </c>
    </row>
    <row r="1322" spans="2:6" x14ac:dyDescent="0.15">
      <c r="E1322" t="s">
        <v>975</v>
      </c>
      <c r="F1322" t="s">
        <v>124</v>
      </c>
    </row>
    <row r="1323" spans="2:6" x14ac:dyDescent="0.15">
      <c r="B1323" t="s">
        <v>1547</v>
      </c>
      <c r="D1323" t="s">
        <v>1548</v>
      </c>
      <c r="E1323" t="s">
        <v>1016</v>
      </c>
      <c r="F1323">
        <v>0</v>
      </c>
    </row>
    <row r="1324" spans="2:6" x14ac:dyDescent="0.15">
      <c r="E1324" t="s">
        <v>1445</v>
      </c>
      <c r="F1324">
        <v>1</v>
      </c>
    </row>
    <row r="1325" spans="2:6" x14ac:dyDescent="0.15">
      <c r="E1325" t="s">
        <v>972</v>
      </c>
      <c r="F1325">
        <v>9999</v>
      </c>
    </row>
    <row r="1326" spans="2:6" x14ac:dyDescent="0.15">
      <c r="E1326" t="s">
        <v>973</v>
      </c>
      <c r="F1326" t="s">
        <v>974</v>
      </c>
    </row>
    <row r="1327" spans="2:6" x14ac:dyDescent="0.15">
      <c r="E1327" t="s">
        <v>975</v>
      </c>
      <c r="F1327" t="s">
        <v>124</v>
      </c>
    </row>
    <row r="1328" spans="2:6" x14ac:dyDescent="0.15">
      <c r="B1328" t="s">
        <v>1549</v>
      </c>
      <c r="D1328" t="s">
        <v>1550</v>
      </c>
      <c r="E1328" t="s">
        <v>1016</v>
      </c>
      <c r="F1328">
        <v>0</v>
      </c>
    </row>
    <row r="1329" spans="2:6" x14ac:dyDescent="0.15">
      <c r="E1329" t="s">
        <v>1445</v>
      </c>
      <c r="F1329">
        <v>1</v>
      </c>
    </row>
    <row r="1330" spans="2:6" x14ac:dyDescent="0.15">
      <c r="E1330" t="s">
        <v>972</v>
      </c>
      <c r="F1330">
        <v>9999</v>
      </c>
    </row>
    <row r="1331" spans="2:6" x14ac:dyDescent="0.15">
      <c r="E1331" t="s">
        <v>973</v>
      </c>
      <c r="F1331" t="s">
        <v>974</v>
      </c>
    </row>
    <row r="1332" spans="2:6" x14ac:dyDescent="0.15">
      <c r="E1332" t="s">
        <v>975</v>
      </c>
      <c r="F1332" t="s">
        <v>124</v>
      </c>
    </row>
    <row r="1333" spans="2:6" x14ac:dyDescent="0.15">
      <c r="B1333" t="s">
        <v>1551</v>
      </c>
      <c r="D1333" t="s">
        <v>1552</v>
      </c>
      <c r="E1333" t="s">
        <v>1016</v>
      </c>
      <c r="F1333">
        <v>0</v>
      </c>
    </row>
    <row r="1334" spans="2:6" x14ac:dyDescent="0.15">
      <c r="E1334" t="s">
        <v>1445</v>
      </c>
      <c r="F1334">
        <v>1</v>
      </c>
    </row>
    <row r="1335" spans="2:6" x14ac:dyDescent="0.15">
      <c r="E1335" t="s">
        <v>972</v>
      </c>
      <c r="F1335">
        <v>9999</v>
      </c>
    </row>
    <row r="1336" spans="2:6" x14ac:dyDescent="0.15">
      <c r="E1336" t="s">
        <v>973</v>
      </c>
      <c r="F1336" t="s">
        <v>974</v>
      </c>
    </row>
    <row r="1337" spans="2:6" x14ac:dyDescent="0.15">
      <c r="E1337" t="s">
        <v>975</v>
      </c>
      <c r="F1337" t="s">
        <v>124</v>
      </c>
    </row>
    <row r="1338" spans="2:6" x14ac:dyDescent="0.15">
      <c r="B1338" t="s">
        <v>1553</v>
      </c>
      <c r="D1338" t="s">
        <v>1554</v>
      </c>
      <c r="E1338" t="s">
        <v>1016</v>
      </c>
      <c r="F1338">
        <v>0</v>
      </c>
    </row>
    <row r="1339" spans="2:6" x14ac:dyDescent="0.15">
      <c r="E1339" t="s">
        <v>1445</v>
      </c>
      <c r="F1339">
        <v>1</v>
      </c>
    </row>
    <row r="1340" spans="2:6" x14ac:dyDescent="0.15">
      <c r="E1340" t="s">
        <v>972</v>
      </c>
      <c r="F1340">
        <v>9999</v>
      </c>
    </row>
    <row r="1341" spans="2:6" x14ac:dyDescent="0.15">
      <c r="E1341" t="s">
        <v>973</v>
      </c>
      <c r="F1341" t="s">
        <v>974</v>
      </c>
    </row>
    <row r="1342" spans="2:6" x14ac:dyDescent="0.15">
      <c r="E1342" t="s">
        <v>975</v>
      </c>
      <c r="F1342" t="s">
        <v>124</v>
      </c>
    </row>
    <row r="1343" spans="2:6" x14ac:dyDescent="0.15">
      <c r="B1343" t="s">
        <v>1555</v>
      </c>
      <c r="D1343" t="s">
        <v>1556</v>
      </c>
      <c r="E1343" t="s">
        <v>1016</v>
      </c>
      <c r="F1343">
        <v>0</v>
      </c>
    </row>
    <row r="1344" spans="2:6" x14ac:dyDescent="0.15">
      <c r="E1344" t="s">
        <v>1445</v>
      </c>
      <c r="F1344">
        <v>1</v>
      </c>
    </row>
    <row r="1345" spans="2:6" x14ac:dyDescent="0.15">
      <c r="E1345" t="s">
        <v>972</v>
      </c>
      <c r="F1345">
        <v>9999</v>
      </c>
    </row>
    <row r="1346" spans="2:6" x14ac:dyDescent="0.15">
      <c r="E1346" t="s">
        <v>973</v>
      </c>
      <c r="F1346" t="s">
        <v>974</v>
      </c>
    </row>
    <row r="1347" spans="2:6" x14ac:dyDescent="0.15">
      <c r="E1347" t="s">
        <v>975</v>
      </c>
      <c r="F1347" t="s">
        <v>124</v>
      </c>
    </row>
    <row r="1348" spans="2:6" x14ac:dyDescent="0.15">
      <c r="B1348" t="s">
        <v>1557</v>
      </c>
      <c r="D1348" t="s">
        <v>1558</v>
      </c>
      <c r="E1348" t="s">
        <v>1016</v>
      </c>
      <c r="F1348">
        <v>0</v>
      </c>
    </row>
    <row r="1349" spans="2:6" x14ac:dyDescent="0.15">
      <c r="E1349" t="s">
        <v>1445</v>
      </c>
      <c r="F1349">
        <v>1</v>
      </c>
    </row>
    <row r="1350" spans="2:6" x14ac:dyDescent="0.15">
      <c r="E1350" t="s">
        <v>972</v>
      </c>
      <c r="F1350">
        <v>9999</v>
      </c>
    </row>
    <row r="1351" spans="2:6" x14ac:dyDescent="0.15">
      <c r="E1351" t="s">
        <v>973</v>
      </c>
      <c r="F1351" t="s">
        <v>974</v>
      </c>
    </row>
    <row r="1352" spans="2:6" x14ac:dyDescent="0.15">
      <c r="E1352" t="s">
        <v>975</v>
      </c>
      <c r="F1352" t="s">
        <v>124</v>
      </c>
    </row>
    <row r="1353" spans="2:6" x14ac:dyDescent="0.15">
      <c r="B1353" t="s">
        <v>1559</v>
      </c>
      <c r="D1353" t="s">
        <v>1560</v>
      </c>
      <c r="E1353" t="s">
        <v>1016</v>
      </c>
      <c r="F1353">
        <v>0</v>
      </c>
    </row>
    <row r="1354" spans="2:6" x14ac:dyDescent="0.15">
      <c r="E1354" t="s">
        <v>1445</v>
      </c>
      <c r="F1354">
        <v>1</v>
      </c>
    </row>
    <row r="1355" spans="2:6" x14ac:dyDescent="0.15">
      <c r="E1355" t="s">
        <v>972</v>
      </c>
      <c r="F1355">
        <v>9999</v>
      </c>
    </row>
    <row r="1356" spans="2:6" x14ac:dyDescent="0.15">
      <c r="E1356" t="s">
        <v>973</v>
      </c>
      <c r="F1356" t="s">
        <v>974</v>
      </c>
    </row>
    <row r="1357" spans="2:6" x14ac:dyDescent="0.15">
      <c r="E1357" t="s">
        <v>975</v>
      </c>
      <c r="F1357" t="s">
        <v>124</v>
      </c>
    </row>
    <row r="1358" spans="2:6" x14ac:dyDescent="0.15">
      <c r="B1358" t="s">
        <v>1561</v>
      </c>
      <c r="D1358" t="s">
        <v>1562</v>
      </c>
      <c r="E1358" t="s">
        <v>1016</v>
      </c>
      <c r="F1358">
        <v>0</v>
      </c>
    </row>
    <row r="1359" spans="2:6" x14ac:dyDescent="0.15">
      <c r="E1359" t="s">
        <v>1445</v>
      </c>
      <c r="F1359">
        <v>1</v>
      </c>
    </row>
    <row r="1360" spans="2:6" x14ac:dyDescent="0.15">
      <c r="E1360" t="s">
        <v>972</v>
      </c>
      <c r="F1360">
        <v>9999</v>
      </c>
    </row>
    <row r="1361" spans="2:6" x14ac:dyDescent="0.15">
      <c r="E1361" t="s">
        <v>973</v>
      </c>
      <c r="F1361" t="s">
        <v>974</v>
      </c>
    </row>
    <row r="1362" spans="2:6" x14ac:dyDescent="0.15">
      <c r="E1362" t="s">
        <v>975</v>
      </c>
      <c r="F1362" t="s">
        <v>124</v>
      </c>
    </row>
    <row r="1363" spans="2:6" x14ac:dyDescent="0.15">
      <c r="B1363" t="s">
        <v>1563</v>
      </c>
      <c r="D1363" t="s">
        <v>1564</v>
      </c>
      <c r="E1363" t="s">
        <v>1016</v>
      </c>
      <c r="F1363">
        <v>0</v>
      </c>
    </row>
    <row r="1364" spans="2:6" x14ac:dyDescent="0.15">
      <c r="E1364" t="s">
        <v>1445</v>
      </c>
      <c r="F1364">
        <v>1</v>
      </c>
    </row>
    <row r="1365" spans="2:6" x14ac:dyDescent="0.15">
      <c r="E1365" t="s">
        <v>972</v>
      </c>
      <c r="F1365">
        <v>9999</v>
      </c>
    </row>
    <row r="1366" spans="2:6" x14ac:dyDescent="0.15">
      <c r="E1366" t="s">
        <v>973</v>
      </c>
      <c r="F1366" t="s">
        <v>974</v>
      </c>
    </row>
    <row r="1367" spans="2:6" x14ac:dyDescent="0.15">
      <c r="E1367" t="s">
        <v>975</v>
      </c>
      <c r="F1367" t="s">
        <v>124</v>
      </c>
    </row>
    <row r="1368" spans="2:6" x14ac:dyDescent="0.15">
      <c r="B1368" t="s">
        <v>1565</v>
      </c>
      <c r="D1368" t="s">
        <v>1566</v>
      </c>
      <c r="E1368" t="s">
        <v>1016</v>
      </c>
      <c r="F1368">
        <v>0</v>
      </c>
    </row>
    <row r="1369" spans="2:6" x14ac:dyDescent="0.15">
      <c r="E1369" t="s">
        <v>1445</v>
      </c>
      <c r="F1369">
        <v>1</v>
      </c>
    </row>
    <row r="1370" spans="2:6" x14ac:dyDescent="0.15">
      <c r="E1370" t="s">
        <v>972</v>
      </c>
      <c r="F1370">
        <v>9999</v>
      </c>
    </row>
    <row r="1371" spans="2:6" x14ac:dyDescent="0.15">
      <c r="E1371" t="s">
        <v>973</v>
      </c>
      <c r="F1371" t="s">
        <v>974</v>
      </c>
    </row>
    <row r="1372" spans="2:6" x14ac:dyDescent="0.15">
      <c r="E1372" t="s">
        <v>975</v>
      </c>
      <c r="F1372" t="s">
        <v>124</v>
      </c>
    </row>
    <row r="1373" spans="2:6" x14ac:dyDescent="0.15">
      <c r="B1373" t="s">
        <v>1567</v>
      </c>
      <c r="D1373" t="s">
        <v>1568</v>
      </c>
      <c r="E1373" t="s">
        <v>1016</v>
      </c>
      <c r="F1373">
        <v>0</v>
      </c>
    </row>
    <row r="1374" spans="2:6" x14ac:dyDescent="0.15">
      <c r="E1374" t="s">
        <v>1016</v>
      </c>
      <c r="F1374">
        <v>1</v>
      </c>
    </row>
    <row r="1375" spans="2:6" x14ac:dyDescent="0.15">
      <c r="E1375" t="s">
        <v>1445</v>
      </c>
      <c r="F1375">
        <v>2</v>
      </c>
    </row>
    <row r="1376" spans="2:6" x14ac:dyDescent="0.15">
      <c r="E1376" t="s">
        <v>1445</v>
      </c>
      <c r="F1376">
        <v>3</v>
      </c>
    </row>
    <row r="1377" spans="2:6" x14ac:dyDescent="0.15">
      <c r="E1377" t="s">
        <v>972</v>
      </c>
      <c r="F1377">
        <v>9999</v>
      </c>
    </row>
    <row r="1378" spans="2:6" x14ac:dyDescent="0.15">
      <c r="E1378" t="s">
        <v>973</v>
      </c>
      <c r="F1378" t="s">
        <v>974</v>
      </c>
    </row>
    <row r="1379" spans="2:6" x14ac:dyDescent="0.15">
      <c r="E1379" t="s">
        <v>975</v>
      </c>
      <c r="F1379" t="s">
        <v>124</v>
      </c>
    </row>
    <row r="1380" spans="2:6" x14ac:dyDescent="0.15">
      <c r="B1380" t="s">
        <v>1569</v>
      </c>
      <c r="D1380" t="s">
        <v>1570</v>
      </c>
      <c r="E1380" t="s">
        <v>1016</v>
      </c>
      <c r="F1380">
        <v>0</v>
      </c>
    </row>
    <row r="1381" spans="2:6" x14ac:dyDescent="0.15">
      <c r="E1381" t="s">
        <v>1445</v>
      </c>
      <c r="F1381">
        <v>1</v>
      </c>
    </row>
    <row r="1382" spans="2:6" x14ac:dyDescent="0.15">
      <c r="E1382" t="s">
        <v>972</v>
      </c>
      <c r="F1382">
        <v>9999</v>
      </c>
    </row>
    <row r="1383" spans="2:6" x14ac:dyDescent="0.15">
      <c r="E1383" t="s">
        <v>973</v>
      </c>
      <c r="F1383" t="s">
        <v>974</v>
      </c>
    </row>
    <row r="1384" spans="2:6" x14ac:dyDescent="0.15">
      <c r="E1384" t="s">
        <v>975</v>
      </c>
      <c r="F1384" t="s">
        <v>124</v>
      </c>
    </row>
    <row r="1385" spans="2:6" x14ac:dyDescent="0.15">
      <c r="B1385" t="s">
        <v>1571</v>
      </c>
      <c r="D1385" t="s">
        <v>1572</v>
      </c>
      <c r="E1385" t="s">
        <v>1016</v>
      </c>
      <c r="F1385">
        <v>0</v>
      </c>
    </row>
    <row r="1386" spans="2:6" x14ac:dyDescent="0.15">
      <c r="E1386" t="s">
        <v>1445</v>
      </c>
      <c r="F1386">
        <v>1</v>
      </c>
    </row>
    <row r="1387" spans="2:6" x14ac:dyDescent="0.15">
      <c r="E1387" t="s">
        <v>972</v>
      </c>
      <c r="F1387">
        <v>9999</v>
      </c>
    </row>
    <row r="1388" spans="2:6" x14ac:dyDescent="0.15">
      <c r="E1388" t="s">
        <v>973</v>
      </c>
      <c r="F1388" t="s">
        <v>974</v>
      </c>
    </row>
    <row r="1389" spans="2:6" x14ac:dyDescent="0.15">
      <c r="E1389" t="s">
        <v>975</v>
      </c>
      <c r="F1389" t="s">
        <v>124</v>
      </c>
    </row>
    <row r="1390" spans="2:6" x14ac:dyDescent="0.15">
      <c r="B1390" t="s">
        <v>1573</v>
      </c>
      <c r="D1390" t="s">
        <v>1574</v>
      </c>
      <c r="E1390" t="s">
        <v>1016</v>
      </c>
      <c r="F1390">
        <v>0</v>
      </c>
    </row>
    <row r="1391" spans="2:6" x14ac:dyDescent="0.15">
      <c r="E1391" t="s">
        <v>1445</v>
      </c>
      <c r="F1391">
        <v>1</v>
      </c>
    </row>
    <row r="1392" spans="2:6" x14ac:dyDescent="0.15">
      <c r="E1392" t="s">
        <v>972</v>
      </c>
      <c r="F1392">
        <v>9999</v>
      </c>
    </row>
    <row r="1393" spans="2:6" x14ac:dyDescent="0.15">
      <c r="E1393" t="s">
        <v>973</v>
      </c>
      <c r="F1393" t="s">
        <v>974</v>
      </c>
    </row>
    <row r="1394" spans="2:6" x14ac:dyDescent="0.15">
      <c r="E1394" t="s">
        <v>975</v>
      </c>
      <c r="F1394" t="s">
        <v>124</v>
      </c>
    </row>
    <row r="1395" spans="2:6" x14ac:dyDescent="0.15">
      <c r="B1395" t="s">
        <v>1575</v>
      </c>
      <c r="D1395" t="s">
        <v>1576</v>
      </c>
      <c r="E1395" t="s">
        <v>1016</v>
      </c>
      <c r="F1395">
        <v>0</v>
      </c>
    </row>
    <row r="1396" spans="2:6" x14ac:dyDescent="0.15">
      <c r="E1396" t="s">
        <v>1445</v>
      </c>
      <c r="F1396">
        <v>1</v>
      </c>
    </row>
    <row r="1397" spans="2:6" x14ac:dyDescent="0.15">
      <c r="E1397" t="s">
        <v>972</v>
      </c>
      <c r="F1397">
        <v>9999</v>
      </c>
    </row>
    <row r="1398" spans="2:6" x14ac:dyDescent="0.15">
      <c r="E1398" t="s">
        <v>973</v>
      </c>
      <c r="F1398" t="s">
        <v>974</v>
      </c>
    </row>
    <row r="1399" spans="2:6" x14ac:dyDescent="0.15">
      <c r="E1399" t="s">
        <v>975</v>
      </c>
      <c r="F1399" t="s">
        <v>124</v>
      </c>
    </row>
    <row r="1400" spans="2:6" x14ac:dyDescent="0.15">
      <c r="B1400" t="s">
        <v>1577</v>
      </c>
      <c r="D1400" t="s">
        <v>1578</v>
      </c>
      <c r="E1400" t="s">
        <v>1016</v>
      </c>
      <c r="F1400">
        <v>0</v>
      </c>
    </row>
    <row r="1401" spans="2:6" x14ac:dyDescent="0.15">
      <c r="E1401" t="s">
        <v>1445</v>
      </c>
      <c r="F1401">
        <v>1</v>
      </c>
    </row>
    <row r="1402" spans="2:6" x14ac:dyDescent="0.15">
      <c r="E1402" t="s">
        <v>972</v>
      </c>
      <c r="F1402">
        <v>9999</v>
      </c>
    </row>
    <row r="1403" spans="2:6" x14ac:dyDescent="0.15">
      <c r="E1403" t="s">
        <v>973</v>
      </c>
      <c r="F1403" t="s">
        <v>974</v>
      </c>
    </row>
    <row r="1404" spans="2:6" x14ac:dyDescent="0.15">
      <c r="E1404" t="s">
        <v>975</v>
      </c>
      <c r="F1404" t="s">
        <v>124</v>
      </c>
    </row>
    <row r="1405" spans="2:6" x14ac:dyDescent="0.15">
      <c r="B1405" t="s">
        <v>1579</v>
      </c>
      <c r="D1405" t="s">
        <v>1580</v>
      </c>
      <c r="E1405" t="s">
        <v>1016</v>
      </c>
      <c r="F1405">
        <v>0</v>
      </c>
    </row>
    <row r="1406" spans="2:6" x14ac:dyDescent="0.15">
      <c r="E1406" t="s">
        <v>1445</v>
      </c>
      <c r="F1406">
        <v>1</v>
      </c>
    </row>
    <row r="1407" spans="2:6" x14ac:dyDescent="0.15">
      <c r="E1407" t="s">
        <v>972</v>
      </c>
      <c r="F1407">
        <v>9999</v>
      </c>
    </row>
    <row r="1408" spans="2:6" x14ac:dyDescent="0.15">
      <c r="E1408" t="s">
        <v>973</v>
      </c>
      <c r="F1408" t="s">
        <v>974</v>
      </c>
    </row>
    <row r="1409" spans="2:6" x14ac:dyDescent="0.15">
      <c r="E1409" t="s">
        <v>975</v>
      </c>
      <c r="F1409" t="s">
        <v>124</v>
      </c>
    </row>
    <row r="1410" spans="2:6" x14ac:dyDescent="0.15">
      <c r="B1410" t="s">
        <v>1581</v>
      </c>
      <c r="D1410" t="s">
        <v>1582</v>
      </c>
      <c r="E1410" t="s">
        <v>1016</v>
      </c>
      <c r="F1410">
        <v>0</v>
      </c>
    </row>
    <row r="1411" spans="2:6" x14ac:dyDescent="0.15">
      <c r="E1411" t="s">
        <v>1445</v>
      </c>
      <c r="F1411">
        <v>1</v>
      </c>
    </row>
    <row r="1412" spans="2:6" x14ac:dyDescent="0.15">
      <c r="E1412" t="s">
        <v>972</v>
      </c>
      <c r="F1412">
        <v>9999</v>
      </c>
    </row>
    <row r="1413" spans="2:6" x14ac:dyDescent="0.15">
      <c r="E1413" t="s">
        <v>973</v>
      </c>
      <c r="F1413" t="s">
        <v>974</v>
      </c>
    </row>
    <row r="1414" spans="2:6" x14ac:dyDescent="0.15">
      <c r="E1414" t="s">
        <v>975</v>
      </c>
      <c r="F1414" t="s">
        <v>124</v>
      </c>
    </row>
    <row r="1415" spans="2:6" x14ac:dyDescent="0.15">
      <c r="B1415" t="s">
        <v>1583</v>
      </c>
      <c r="D1415" t="s">
        <v>1584</v>
      </c>
      <c r="E1415" t="s">
        <v>1016</v>
      </c>
      <c r="F1415">
        <v>0</v>
      </c>
    </row>
    <row r="1416" spans="2:6" x14ac:dyDescent="0.15">
      <c r="E1416" t="s">
        <v>1445</v>
      </c>
      <c r="F1416">
        <v>1</v>
      </c>
    </row>
    <row r="1417" spans="2:6" x14ac:dyDescent="0.15">
      <c r="E1417" t="s">
        <v>972</v>
      </c>
      <c r="F1417">
        <v>9999</v>
      </c>
    </row>
    <row r="1418" spans="2:6" x14ac:dyDescent="0.15">
      <c r="E1418" t="s">
        <v>973</v>
      </c>
      <c r="F1418" t="s">
        <v>974</v>
      </c>
    </row>
    <row r="1419" spans="2:6" x14ac:dyDescent="0.15">
      <c r="E1419" t="s">
        <v>975</v>
      </c>
      <c r="F1419" t="s">
        <v>124</v>
      </c>
    </row>
    <row r="1420" spans="2:6" x14ac:dyDescent="0.15">
      <c r="B1420" t="s">
        <v>1585</v>
      </c>
      <c r="D1420" t="s">
        <v>1586</v>
      </c>
      <c r="E1420" t="s">
        <v>1016</v>
      </c>
      <c r="F1420">
        <v>0</v>
      </c>
    </row>
    <row r="1421" spans="2:6" x14ac:dyDescent="0.15">
      <c r="E1421" t="s">
        <v>1445</v>
      </c>
      <c r="F1421">
        <v>1</v>
      </c>
    </row>
    <row r="1422" spans="2:6" x14ac:dyDescent="0.15">
      <c r="E1422" t="s">
        <v>972</v>
      </c>
      <c r="F1422">
        <v>9999</v>
      </c>
    </row>
    <row r="1423" spans="2:6" x14ac:dyDescent="0.15">
      <c r="E1423" t="s">
        <v>973</v>
      </c>
      <c r="F1423" t="s">
        <v>974</v>
      </c>
    </row>
    <row r="1424" spans="2:6" x14ac:dyDescent="0.15">
      <c r="E1424" t="s">
        <v>975</v>
      </c>
      <c r="F1424" t="s">
        <v>124</v>
      </c>
    </row>
    <row r="1425" spans="2:6" x14ac:dyDescent="0.15">
      <c r="B1425" t="s">
        <v>1587</v>
      </c>
      <c r="D1425" t="s">
        <v>1588</v>
      </c>
      <c r="E1425" t="s">
        <v>1016</v>
      </c>
      <c r="F1425">
        <v>0</v>
      </c>
    </row>
    <row r="1426" spans="2:6" x14ac:dyDescent="0.15">
      <c r="E1426" t="s">
        <v>1445</v>
      </c>
      <c r="F1426">
        <v>1</v>
      </c>
    </row>
    <row r="1427" spans="2:6" x14ac:dyDescent="0.15">
      <c r="E1427" t="s">
        <v>972</v>
      </c>
      <c r="F1427">
        <v>9999</v>
      </c>
    </row>
    <row r="1428" spans="2:6" x14ac:dyDescent="0.15">
      <c r="E1428" t="s">
        <v>973</v>
      </c>
      <c r="F1428" t="s">
        <v>974</v>
      </c>
    </row>
    <row r="1429" spans="2:6" x14ac:dyDescent="0.15">
      <c r="E1429" t="s">
        <v>975</v>
      </c>
      <c r="F1429" t="s">
        <v>124</v>
      </c>
    </row>
    <row r="1430" spans="2:6" x14ac:dyDescent="0.15">
      <c r="B1430" t="s">
        <v>1589</v>
      </c>
      <c r="D1430" t="s">
        <v>1590</v>
      </c>
      <c r="E1430" t="s">
        <v>1016</v>
      </c>
      <c r="F1430">
        <v>0</v>
      </c>
    </row>
    <row r="1431" spans="2:6" x14ac:dyDescent="0.15">
      <c r="E1431" t="s">
        <v>1445</v>
      </c>
      <c r="F1431">
        <v>1</v>
      </c>
    </row>
    <row r="1432" spans="2:6" x14ac:dyDescent="0.15">
      <c r="E1432" t="s">
        <v>972</v>
      </c>
      <c r="F1432">
        <v>9999</v>
      </c>
    </row>
    <row r="1433" spans="2:6" x14ac:dyDescent="0.15">
      <c r="E1433" t="s">
        <v>973</v>
      </c>
      <c r="F1433" t="s">
        <v>974</v>
      </c>
    </row>
    <row r="1434" spans="2:6" x14ac:dyDescent="0.15">
      <c r="E1434" t="s">
        <v>975</v>
      </c>
      <c r="F1434" t="s">
        <v>124</v>
      </c>
    </row>
    <row r="1435" spans="2:6" x14ac:dyDescent="0.15">
      <c r="B1435" t="s">
        <v>1591</v>
      </c>
      <c r="D1435" t="s">
        <v>1592</v>
      </c>
    </row>
    <row r="1436" spans="2:6" x14ac:dyDescent="0.15">
      <c r="B1436" t="s">
        <v>1593</v>
      </c>
      <c r="D1436" t="s">
        <v>1594</v>
      </c>
      <c r="E1436" t="s">
        <v>1016</v>
      </c>
      <c r="F1436">
        <v>0</v>
      </c>
    </row>
    <row r="1437" spans="2:6" x14ac:dyDescent="0.15">
      <c r="E1437" t="s">
        <v>1445</v>
      </c>
      <c r="F1437">
        <v>1</v>
      </c>
    </row>
    <row r="1438" spans="2:6" x14ac:dyDescent="0.15">
      <c r="E1438" t="s">
        <v>972</v>
      </c>
      <c r="F1438">
        <v>9999</v>
      </c>
    </row>
    <row r="1439" spans="2:6" x14ac:dyDescent="0.15">
      <c r="E1439" t="s">
        <v>973</v>
      </c>
      <c r="F1439" t="s">
        <v>974</v>
      </c>
    </row>
    <row r="1440" spans="2:6" x14ac:dyDescent="0.15">
      <c r="E1440" t="s">
        <v>975</v>
      </c>
      <c r="F1440" t="s">
        <v>124</v>
      </c>
    </row>
    <row r="1441" spans="2:6" x14ac:dyDescent="0.15">
      <c r="B1441" t="s">
        <v>1595</v>
      </c>
      <c r="D1441" t="s">
        <v>1596</v>
      </c>
      <c r="E1441" t="s">
        <v>1016</v>
      </c>
      <c r="F1441">
        <v>0</v>
      </c>
    </row>
    <row r="1442" spans="2:6" x14ac:dyDescent="0.15">
      <c r="E1442" t="s">
        <v>1445</v>
      </c>
      <c r="F1442">
        <v>1</v>
      </c>
    </row>
    <row r="1443" spans="2:6" x14ac:dyDescent="0.15">
      <c r="E1443" t="s">
        <v>972</v>
      </c>
      <c r="F1443">
        <v>9999</v>
      </c>
    </row>
    <row r="1444" spans="2:6" x14ac:dyDescent="0.15">
      <c r="E1444" t="s">
        <v>973</v>
      </c>
      <c r="F1444" t="s">
        <v>974</v>
      </c>
    </row>
    <row r="1445" spans="2:6" x14ac:dyDescent="0.15">
      <c r="E1445" t="s">
        <v>975</v>
      </c>
      <c r="F1445" t="s">
        <v>124</v>
      </c>
    </row>
    <row r="1446" spans="2:6" x14ac:dyDescent="0.15">
      <c r="B1446" t="s">
        <v>1597</v>
      </c>
      <c r="D1446" t="s">
        <v>1598</v>
      </c>
      <c r="E1446" t="s">
        <v>1016</v>
      </c>
      <c r="F1446">
        <v>0</v>
      </c>
    </row>
    <row r="1447" spans="2:6" x14ac:dyDescent="0.15">
      <c r="E1447" t="s">
        <v>1445</v>
      </c>
      <c r="F1447">
        <v>1</v>
      </c>
    </row>
    <row r="1448" spans="2:6" x14ac:dyDescent="0.15">
      <c r="E1448" t="s">
        <v>972</v>
      </c>
      <c r="F1448">
        <v>9999</v>
      </c>
    </row>
    <row r="1449" spans="2:6" x14ac:dyDescent="0.15">
      <c r="E1449" t="s">
        <v>973</v>
      </c>
      <c r="F1449" t="s">
        <v>974</v>
      </c>
    </row>
    <row r="1450" spans="2:6" x14ac:dyDescent="0.15">
      <c r="E1450" t="s">
        <v>975</v>
      </c>
      <c r="F1450" t="s">
        <v>124</v>
      </c>
    </row>
    <row r="1451" spans="2:6" x14ac:dyDescent="0.15">
      <c r="B1451" t="s">
        <v>1599</v>
      </c>
      <c r="D1451" t="s">
        <v>1600</v>
      </c>
      <c r="E1451" t="s">
        <v>1016</v>
      </c>
      <c r="F1451">
        <v>0</v>
      </c>
    </row>
    <row r="1452" spans="2:6" x14ac:dyDescent="0.15">
      <c r="E1452" t="s">
        <v>1445</v>
      </c>
      <c r="F1452">
        <v>1</v>
      </c>
    </row>
    <row r="1453" spans="2:6" x14ac:dyDescent="0.15">
      <c r="E1453" t="s">
        <v>972</v>
      </c>
      <c r="F1453">
        <v>9999</v>
      </c>
    </row>
    <row r="1454" spans="2:6" x14ac:dyDescent="0.15">
      <c r="E1454" t="s">
        <v>973</v>
      </c>
      <c r="F1454" t="s">
        <v>974</v>
      </c>
    </row>
    <row r="1455" spans="2:6" x14ac:dyDescent="0.15">
      <c r="E1455" t="s">
        <v>975</v>
      </c>
      <c r="F1455" t="s">
        <v>124</v>
      </c>
    </row>
    <row r="1456" spans="2:6" x14ac:dyDescent="0.15">
      <c r="B1456" t="s">
        <v>1601</v>
      </c>
      <c r="D1456" t="s">
        <v>1602</v>
      </c>
      <c r="E1456" t="s">
        <v>1016</v>
      </c>
      <c r="F1456">
        <v>0</v>
      </c>
    </row>
    <row r="1457" spans="1:6" x14ac:dyDescent="0.15">
      <c r="E1457" t="s">
        <v>1445</v>
      </c>
      <c r="F1457">
        <v>1</v>
      </c>
    </row>
    <row r="1458" spans="1:6" x14ac:dyDescent="0.15">
      <c r="E1458" t="s">
        <v>972</v>
      </c>
      <c r="F1458">
        <v>9999</v>
      </c>
    </row>
    <row r="1459" spans="1:6" x14ac:dyDescent="0.15">
      <c r="E1459" t="s">
        <v>973</v>
      </c>
      <c r="F1459" t="s">
        <v>974</v>
      </c>
    </row>
    <row r="1460" spans="1:6" x14ac:dyDescent="0.15">
      <c r="E1460" t="s">
        <v>975</v>
      </c>
      <c r="F1460" t="s">
        <v>124</v>
      </c>
    </row>
    <row r="1461" spans="1:6" x14ac:dyDescent="0.15">
      <c r="B1461" t="s">
        <v>1603</v>
      </c>
      <c r="D1461" t="s">
        <v>1604</v>
      </c>
      <c r="E1461" t="s">
        <v>1016</v>
      </c>
      <c r="F1461">
        <v>0</v>
      </c>
    </row>
    <row r="1462" spans="1:6" x14ac:dyDescent="0.15">
      <c r="E1462" t="s">
        <v>1445</v>
      </c>
      <c r="F1462">
        <v>1</v>
      </c>
    </row>
    <row r="1463" spans="1:6" x14ac:dyDescent="0.15">
      <c r="E1463" t="s">
        <v>972</v>
      </c>
      <c r="F1463">
        <v>9999</v>
      </c>
    </row>
    <row r="1464" spans="1:6" x14ac:dyDescent="0.15">
      <c r="E1464" t="s">
        <v>973</v>
      </c>
      <c r="F1464" t="s">
        <v>974</v>
      </c>
    </row>
    <row r="1465" spans="1:6" x14ac:dyDescent="0.15">
      <c r="E1465" t="s">
        <v>975</v>
      </c>
      <c r="F1465" t="s">
        <v>124</v>
      </c>
    </row>
    <row r="1466" spans="1:6" x14ac:dyDescent="0.15">
      <c r="B1466" t="s">
        <v>1605</v>
      </c>
      <c r="D1466" t="s">
        <v>1606</v>
      </c>
      <c r="E1466" t="s">
        <v>1016</v>
      </c>
      <c r="F1466">
        <v>0</v>
      </c>
    </row>
    <row r="1467" spans="1:6" x14ac:dyDescent="0.15">
      <c r="E1467" t="s">
        <v>1445</v>
      </c>
      <c r="F1467">
        <v>1</v>
      </c>
    </row>
    <row r="1468" spans="1:6" x14ac:dyDescent="0.15">
      <c r="E1468" t="s">
        <v>972</v>
      </c>
      <c r="F1468">
        <v>9999</v>
      </c>
    </row>
    <row r="1469" spans="1:6" x14ac:dyDescent="0.15">
      <c r="E1469" t="s">
        <v>973</v>
      </c>
      <c r="F1469" t="s">
        <v>974</v>
      </c>
    </row>
    <row r="1470" spans="1:6" x14ac:dyDescent="0.15">
      <c r="E1470" t="s">
        <v>975</v>
      </c>
      <c r="F1470" t="s">
        <v>124</v>
      </c>
    </row>
    <row r="1471" spans="1:6" x14ac:dyDescent="0.15">
      <c r="B1471" t="s">
        <v>1607</v>
      </c>
      <c r="D1471" t="s">
        <v>1608</v>
      </c>
    </row>
    <row r="1472" spans="1:6" x14ac:dyDescent="0.15">
      <c r="A1472" t="s">
        <v>1609</v>
      </c>
      <c r="B1472" t="s">
        <v>2</v>
      </c>
      <c r="C1472" t="s">
        <v>1610</v>
      </c>
      <c r="D1472" t="s">
        <v>1611</v>
      </c>
      <c r="E1472" t="s">
        <v>1025</v>
      </c>
      <c r="F1472">
        <v>1</v>
      </c>
    </row>
    <row r="1473" spans="2:6" x14ac:dyDescent="0.15">
      <c r="E1473" t="s">
        <v>968</v>
      </c>
      <c r="F1473">
        <v>2</v>
      </c>
    </row>
    <row r="1474" spans="2:6" x14ac:dyDescent="0.15">
      <c r="E1474" t="s">
        <v>969</v>
      </c>
      <c r="F1474">
        <v>3</v>
      </c>
    </row>
    <row r="1475" spans="2:6" x14ac:dyDescent="0.15">
      <c r="E1475" t="s">
        <v>970</v>
      </c>
      <c r="F1475">
        <v>4</v>
      </c>
    </row>
    <row r="1476" spans="2:6" x14ac:dyDescent="0.15">
      <c r="E1476" t="s">
        <v>1612</v>
      </c>
      <c r="F1476">
        <v>5</v>
      </c>
    </row>
    <row r="1477" spans="2:6" x14ac:dyDescent="0.15">
      <c r="E1477" t="s">
        <v>971</v>
      </c>
      <c r="F1477">
        <v>6</v>
      </c>
    </row>
    <row r="1478" spans="2:6" x14ac:dyDescent="0.15">
      <c r="E1478" t="s">
        <v>1613</v>
      </c>
      <c r="F1478">
        <v>7</v>
      </c>
    </row>
    <row r="1479" spans="2:6" x14ac:dyDescent="0.15">
      <c r="E1479" t="s">
        <v>972</v>
      </c>
      <c r="F1479">
        <v>9999</v>
      </c>
    </row>
    <row r="1480" spans="2:6" x14ac:dyDescent="0.15">
      <c r="E1480" t="s">
        <v>973</v>
      </c>
      <c r="F1480" t="s">
        <v>974</v>
      </c>
    </row>
    <row r="1481" spans="2:6" x14ac:dyDescent="0.15">
      <c r="E1481" t="s">
        <v>975</v>
      </c>
      <c r="F1481" t="s">
        <v>124</v>
      </c>
    </row>
    <row r="1482" spans="2:6" x14ac:dyDescent="0.15">
      <c r="B1482" t="s">
        <v>3</v>
      </c>
      <c r="C1482" t="s">
        <v>1614</v>
      </c>
      <c r="D1482" t="s">
        <v>1615</v>
      </c>
      <c r="E1482" t="s">
        <v>1025</v>
      </c>
      <c r="F1482">
        <v>1</v>
      </c>
    </row>
    <row r="1483" spans="2:6" x14ac:dyDescent="0.15">
      <c r="E1483" t="s">
        <v>968</v>
      </c>
      <c r="F1483">
        <v>2</v>
      </c>
    </row>
    <row r="1484" spans="2:6" x14ac:dyDescent="0.15">
      <c r="E1484" t="s">
        <v>969</v>
      </c>
      <c r="F1484">
        <v>3</v>
      </c>
    </row>
    <row r="1485" spans="2:6" x14ac:dyDescent="0.15">
      <c r="E1485" t="s">
        <v>970</v>
      </c>
      <c r="F1485">
        <v>4</v>
      </c>
    </row>
    <row r="1486" spans="2:6" x14ac:dyDescent="0.15">
      <c r="E1486" t="s">
        <v>1612</v>
      </c>
      <c r="F1486">
        <v>5</v>
      </c>
    </row>
    <row r="1487" spans="2:6" x14ac:dyDescent="0.15">
      <c r="E1487" t="s">
        <v>971</v>
      </c>
      <c r="F1487">
        <v>6</v>
      </c>
    </row>
    <row r="1488" spans="2:6" x14ac:dyDescent="0.15">
      <c r="E1488" t="s">
        <v>1613</v>
      </c>
      <c r="F1488">
        <v>7</v>
      </c>
    </row>
    <row r="1489" spans="2:6" x14ac:dyDescent="0.15">
      <c r="E1489" t="s">
        <v>972</v>
      </c>
      <c r="F1489">
        <v>9999</v>
      </c>
    </row>
    <row r="1490" spans="2:6" x14ac:dyDescent="0.15">
      <c r="E1490" t="s">
        <v>973</v>
      </c>
      <c r="F1490" t="s">
        <v>974</v>
      </c>
    </row>
    <row r="1491" spans="2:6" x14ac:dyDescent="0.15">
      <c r="E1491" t="s">
        <v>975</v>
      </c>
      <c r="F1491" t="s">
        <v>124</v>
      </c>
    </row>
    <row r="1492" spans="2:6" x14ac:dyDescent="0.15">
      <c r="B1492" t="s">
        <v>4</v>
      </c>
      <c r="C1492" t="e">
        <f>- Verbal report or behavior indicating perceptions which are not generated by external stimuli. These may occur in auditory, visual, olfactory, or somatic realms.</f>
        <v>#NAME?</v>
      </c>
      <c r="D1492" t="s">
        <v>1616</v>
      </c>
      <c r="E1492" t="s">
        <v>1025</v>
      </c>
      <c r="F1492">
        <v>1</v>
      </c>
    </row>
    <row r="1493" spans="2:6" x14ac:dyDescent="0.15">
      <c r="E1493" t="s">
        <v>968</v>
      </c>
      <c r="F1493">
        <v>2</v>
      </c>
    </row>
    <row r="1494" spans="2:6" x14ac:dyDescent="0.15">
      <c r="E1494" t="s">
        <v>969</v>
      </c>
      <c r="F1494">
        <v>3</v>
      </c>
    </row>
    <row r="1495" spans="2:6" x14ac:dyDescent="0.15">
      <c r="E1495" t="s">
        <v>970</v>
      </c>
      <c r="F1495">
        <v>4</v>
      </c>
    </row>
    <row r="1496" spans="2:6" x14ac:dyDescent="0.15">
      <c r="E1496" t="s">
        <v>1612</v>
      </c>
      <c r="F1496">
        <v>5</v>
      </c>
    </row>
    <row r="1497" spans="2:6" x14ac:dyDescent="0.15">
      <c r="E1497" t="s">
        <v>971</v>
      </c>
      <c r="F1497">
        <v>6</v>
      </c>
    </row>
    <row r="1498" spans="2:6" x14ac:dyDescent="0.15">
      <c r="E1498" t="s">
        <v>1613</v>
      </c>
      <c r="F1498">
        <v>7</v>
      </c>
    </row>
    <row r="1499" spans="2:6" x14ac:dyDescent="0.15">
      <c r="E1499" t="s">
        <v>972</v>
      </c>
      <c r="F1499">
        <v>9999</v>
      </c>
    </row>
    <row r="1500" spans="2:6" x14ac:dyDescent="0.15">
      <c r="E1500" t="s">
        <v>973</v>
      </c>
      <c r="F1500" t="s">
        <v>974</v>
      </c>
    </row>
    <row r="1501" spans="2:6" x14ac:dyDescent="0.15">
      <c r="E1501" t="s">
        <v>975</v>
      </c>
      <c r="F1501" t="s">
        <v>124</v>
      </c>
    </row>
    <row r="1502" spans="2:6" x14ac:dyDescent="0.15">
      <c r="B1502" t="s">
        <v>5</v>
      </c>
      <c r="C1502" t="s">
        <v>1617</v>
      </c>
      <c r="D1502" t="s">
        <v>1618</v>
      </c>
      <c r="E1502" t="s">
        <v>1025</v>
      </c>
      <c r="F1502">
        <v>1</v>
      </c>
    </row>
    <row r="1503" spans="2:6" x14ac:dyDescent="0.15">
      <c r="E1503" t="s">
        <v>968</v>
      </c>
      <c r="F1503">
        <v>2</v>
      </c>
    </row>
    <row r="1504" spans="2:6" x14ac:dyDescent="0.15">
      <c r="E1504" t="s">
        <v>969</v>
      </c>
      <c r="F1504">
        <v>3</v>
      </c>
    </row>
    <row r="1505" spans="2:6" x14ac:dyDescent="0.15">
      <c r="E1505" t="s">
        <v>970</v>
      </c>
      <c r="F1505">
        <v>4</v>
      </c>
    </row>
    <row r="1506" spans="2:6" x14ac:dyDescent="0.15">
      <c r="E1506" t="s">
        <v>1612</v>
      </c>
      <c r="F1506">
        <v>5</v>
      </c>
    </row>
    <row r="1507" spans="2:6" x14ac:dyDescent="0.15">
      <c r="E1507" t="s">
        <v>971</v>
      </c>
      <c r="F1507">
        <v>6</v>
      </c>
    </row>
    <row r="1508" spans="2:6" x14ac:dyDescent="0.15">
      <c r="E1508" t="s">
        <v>1613</v>
      </c>
      <c r="F1508">
        <v>7</v>
      </c>
    </row>
    <row r="1509" spans="2:6" x14ac:dyDescent="0.15">
      <c r="E1509" t="s">
        <v>972</v>
      </c>
      <c r="F1509">
        <v>9999</v>
      </c>
    </row>
    <row r="1510" spans="2:6" x14ac:dyDescent="0.15">
      <c r="E1510" t="s">
        <v>973</v>
      </c>
      <c r="F1510" t="s">
        <v>974</v>
      </c>
    </row>
    <row r="1511" spans="2:6" x14ac:dyDescent="0.15">
      <c r="E1511" t="s">
        <v>975</v>
      </c>
      <c r="F1511" t="s">
        <v>124</v>
      </c>
    </row>
    <row r="1512" spans="2:6" x14ac:dyDescent="0.15">
      <c r="B1512" t="s">
        <v>6</v>
      </c>
      <c r="C1512" t="e">
        <f>- Exaggerated self-opinion and unrealistic convictions of superiority, including delusions of extraordinary abilities, wealth, knowledge, fame, power and moral righteousness.</f>
        <v>#NAME?</v>
      </c>
      <c r="D1512" t="s">
        <v>1619</v>
      </c>
      <c r="E1512" t="s">
        <v>1025</v>
      </c>
      <c r="F1512">
        <v>1</v>
      </c>
    </row>
    <row r="1513" spans="2:6" x14ac:dyDescent="0.15">
      <c r="E1513" t="s">
        <v>968</v>
      </c>
      <c r="F1513">
        <v>2</v>
      </c>
    </row>
    <row r="1514" spans="2:6" x14ac:dyDescent="0.15">
      <c r="E1514" t="s">
        <v>969</v>
      </c>
      <c r="F1514">
        <v>3</v>
      </c>
    </row>
    <row r="1515" spans="2:6" x14ac:dyDescent="0.15">
      <c r="E1515" t="s">
        <v>970</v>
      </c>
      <c r="F1515">
        <v>4</v>
      </c>
    </row>
    <row r="1516" spans="2:6" x14ac:dyDescent="0.15">
      <c r="E1516" t="s">
        <v>1612</v>
      </c>
      <c r="F1516">
        <v>5</v>
      </c>
    </row>
    <row r="1517" spans="2:6" x14ac:dyDescent="0.15">
      <c r="E1517" t="s">
        <v>971</v>
      </c>
      <c r="F1517">
        <v>6</v>
      </c>
    </row>
    <row r="1518" spans="2:6" x14ac:dyDescent="0.15">
      <c r="E1518" t="s">
        <v>1613</v>
      </c>
      <c r="F1518">
        <v>7</v>
      </c>
    </row>
    <row r="1519" spans="2:6" x14ac:dyDescent="0.15">
      <c r="E1519" t="s">
        <v>972</v>
      </c>
      <c r="F1519">
        <v>9999</v>
      </c>
    </row>
    <row r="1520" spans="2:6" x14ac:dyDescent="0.15">
      <c r="E1520" t="s">
        <v>973</v>
      </c>
      <c r="F1520" t="s">
        <v>974</v>
      </c>
    </row>
    <row r="1521" spans="2:6" x14ac:dyDescent="0.15">
      <c r="E1521" t="s">
        <v>975</v>
      </c>
      <c r="F1521" t="s">
        <v>124</v>
      </c>
    </row>
    <row r="1522" spans="2:6" x14ac:dyDescent="0.15">
      <c r="B1522" t="s">
        <v>7</v>
      </c>
      <c r="C1522" t="s">
        <v>1620</v>
      </c>
      <c r="D1522" t="s">
        <v>1621</v>
      </c>
      <c r="E1522" t="s">
        <v>1025</v>
      </c>
      <c r="F1522">
        <v>1</v>
      </c>
    </row>
    <row r="1523" spans="2:6" x14ac:dyDescent="0.15">
      <c r="E1523" t="s">
        <v>968</v>
      </c>
      <c r="F1523">
        <v>2</v>
      </c>
    </row>
    <row r="1524" spans="2:6" x14ac:dyDescent="0.15">
      <c r="E1524" t="s">
        <v>969</v>
      </c>
      <c r="F1524">
        <v>3</v>
      </c>
    </row>
    <row r="1525" spans="2:6" x14ac:dyDescent="0.15">
      <c r="E1525" t="s">
        <v>970</v>
      </c>
      <c r="F1525">
        <v>4</v>
      </c>
    </row>
    <row r="1526" spans="2:6" x14ac:dyDescent="0.15">
      <c r="E1526" t="s">
        <v>1612</v>
      </c>
      <c r="F1526">
        <v>5</v>
      </c>
    </row>
    <row r="1527" spans="2:6" x14ac:dyDescent="0.15">
      <c r="E1527" t="s">
        <v>971</v>
      </c>
      <c r="F1527">
        <v>6</v>
      </c>
    </row>
    <row r="1528" spans="2:6" x14ac:dyDescent="0.15">
      <c r="E1528" t="s">
        <v>1613</v>
      </c>
      <c r="F1528">
        <v>7</v>
      </c>
    </row>
    <row r="1529" spans="2:6" x14ac:dyDescent="0.15">
      <c r="E1529" t="s">
        <v>972</v>
      </c>
      <c r="F1529">
        <v>9999</v>
      </c>
    </row>
    <row r="1530" spans="2:6" x14ac:dyDescent="0.15">
      <c r="E1530" t="s">
        <v>973</v>
      </c>
      <c r="F1530" t="s">
        <v>974</v>
      </c>
    </row>
    <row r="1531" spans="2:6" x14ac:dyDescent="0.15">
      <c r="E1531" t="s">
        <v>975</v>
      </c>
      <c r="F1531" t="s">
        <v>124</v>
      </c>
    </row>
    <row r="1532" spans="2:6" ht="195" x14ac:dyDescent="0.15">
      <c r="B1532" t="s">
        <v>8</v>
      </c>
      <c r="C1532" s="16" t="s">
        <v>1622</v>
      </c>
      <c r="D1532" t="s">
        <v>1623</v>
      </c>
      <c r="E1532" t="s">
        <v>1025</v>
      </c>
      <c r="F1532">
        <v>1</v>
      </c>
    </row>
    <row r="1533" spans="2:6" x14ac:dyDescent="0.15">
      <c r="E1533" t="s">
        <v>968</v>
      </c>
      <c r="F1533">
        <v>2</v>
      </c>
    </row>
    <row r="1534" spans="2:6" x14ac:dyDescent="0.15">
      <c r="E1534" t="s">
        <v>969</v>
      </c>
      <c r="F1534">
        <v>3</v>
      </c>
    </row>
    <row r="1535" spans="2:6" x14ac:dyDescent="0.15">
      <c r="E1535" t="s">
        <v>970</v>
      </c>
      <c r="F1535">
        <v>4</v>
      </c>
    </row>
    <row r="1536" spans="2:6" x14ac:dyDescent="0.15">
      <c r="E1536" t="s">
        <v>1612</v>
      </c>
      <c r="F1536">
        <v>5</v>
      </c>
    </row>
    <row r="1537" spans="2:6" x14ac:dyDescent="0.15">
      <c r="E1537" t="s">
        <v>971</v>
      </c>
      <c r="F1537">
        <v>6</v>
      </c>
    </row>
    <row r="1538" spans="2:6" x14ac:dyDescent="0.15">
      <c r="E1538" t="s">
        <v>1613</v>
      </c>
      <c r="F1538">
        <v>7</v>
      </c>
    </row>
    <row r="1539" spans="2:6" x14ac:dyDescent="0.15">
      <c r="E1539" t="s">
        <v>972</v>
      </c>
      <c r="F1539">
        <v>9999</v>
      </c>
    </row>
    <row r="1540" spans="2:6" x14ac:dyDescent="0.15">
      <c r="E1540" t="s">
        <v>973</v>
      </c>
      <c r="F1540" t="s">
        <v>974</v>
      </c>
    </row>
    <row r="1541" spans="2:6" x14ac:dyDescent="0.15">
      <c r="E1541" t="s">
        <v>975</v>
      </c>
      <c r="F1541" t="s">
        <v>124</v>
      </c>
    </row>
    <row r="1542" spans="2:6" x14ac:dyDescent="0.15">
      <c r="B1542" t="s">
        <v>9</v>
      </c>
      <c r="C1542" t="s">
        <v>1624</v>
      </c>
      <c r="D1542" t="s">
        <v>1625</v>
      </c>
      <c r="E1542" t="s">
        <v>1025</v>
      </c>
      <c r="F1542">
        <v>1</v>
      </c>
    </row>
    <row r="1543" spans="2:6" x14ac:dyDescent="0.15">
      <c r="E1543" t="s">
        <v>968</v>
      </c>
      <c r="F1543">
        <v>2</v>
      </c>
    </row>
    <row r="1544" spans="2:6" x14ac:dyDescent="0.15">
      <c r="E1544" t="s">
        <v>969</v>
      </c>
      <c r="F1544">
        <v>3</v>
      </c>
    </row>
    <row r="1545" spans="2:6" x14ac:dyDescent="0.15">
      <c r="E1545" t="s">
        <v>970</v>
      </c>
      <c r="F1545">
        <v>4</v>
      </c>
    </row>
    <row r="1546" spans="2:6" x14ac:dyDescent="0.15">
      <c r="E1546" t="s">
        <v>1612</v>
      </c>
      <c r="F1546">
        <v>5</v>
      </c>
    </row>
    <row r="1547" spans="2:6" x14ac:dyDescent="0.15">
      <c r="E1547" t="s">
        <v>971</v>
      </c>
      <c r="F1547">
        <v>6</v>
      </c>
    </row>
    <row r="1548" spans="2:6" x14ac:dyDescent="0.15">
      <c r="E1548" t="s">
        <v>1613</v>
      </c>
      <c r="F1548">
        <v>7</v>
      </c>
    </row>
    <row r="1549" spans="2:6" x14ac:dyDescent="0.15">
      <c r="E1549" t="s">
        <v>972</v>
      </c>
      <c r="F1549">
        <v>9999</v>
      </c>
    </row>
    <row r="1550" spans="2:6" x14ac:dyDescent="0.15">
      <c r="E1550" t="s">
        <v>973</v>
      </c>
      <c r="F1550" t="s">
        <v>974</v>
      </c>
    </row>
    <row r="1551" spans="2:6" x14ac:dyDescent="0.15">
      <c r="E1551" t="s">
        <v>975</v>
      </c>
      <c r="F1551" t="s">
        <v>124</v>
      </c>
    </row>
    <row r="1552" spans="2:6" x14ac:dyDescent="0.15">
      <c r="B1552" t="s">
        <v>10</v>
      </c>
      <c r="C1552" t="s">
        <v>1626</v>
      </c>
      <c r="D1552" t="s">
        <v>1627</v>
      </c>
      <c r="E1552" t="s">
        <v>1025</v>
      </c>
      <c r="F1552">
        <v>1</v>
      </c>
    </row>
    <row r="1553" spans="2:6" x14ac:dyDescent="0.15">
      <c r="E1553" t="s">
        <v>968</v>
      </c>
      <c r="F1553">
        <v>2</v>
      </c>
    </row>
    <row r="1554" spans="2:6" x14ac:dyDescent="0.15">
      <c r="E1554" t="s">
        <v>969</v>
      </c>
      <c r="F1554">
        <v>3</v>
      </c>
    </row>
    <row r="1555" spans="2:6" x14ac:dyDescent="0.15">
      <c r="E1555" t="s">
        <v>970</v>
      </c>
      <c r="F1555">
        <v>4</v>
      </c>
    </row>
    <row r="1556" spans="2:6" x14ac:dyDescent="0.15">
      <c r="E1556" t="s">
        <v>1612</v>
      </c>
      <c r="F1556">
        <v>5</v>
      </c>
    </row>
    <row r="1557" spans="2:6" x14ac:dyDescent="0.15">
      <c r="E1557" t="s">
        <v>971</v>
      </c>
      <c r="F1557">
        <v>6</v>
      </c>
    </row>
    <row r="1558" spans="2:6" x14ac:dyDescent="0.15">
      <c r="E1558" t="s">
        <v>1613</v>
      </c>
      <c r="F1558">
        <v>7</v>
      </c>
    </row>
    <row r="1559" spans="2:6" x14ac:dyDescent="0.15">
      <c r="E1559" t="s">
        <v>972</v>
      </c>
      <c r="F1559">
        <v>9999</v>
      </c>
    </row>
    <row r="1560" spans="2:6" x14ac:dyDescent="0.15">
      <c r="E1560" t="s">
        <v>973</v>
      </c>
      <c r="F1560" t="s">
        <v>974</v>
      </c>
    </row>
    <row r="1561" spans="2:6" x14ac:dyDescent="0.15">
      <c r="E1561" t="s">
        <v>975</v>
      </c>
      <c r="F1561" t="s">
        <v>124</v>
      </c>
    </row>
    <row r="1562" spans="2:6" x14ac:dyDescent="0.15">
      <c r="B1562" t="s">
        <v>11</v>
      </c>
      <c r="C1562" t="s">
        <v>1628</v>
      </c>
      <c r="D1562" t="s">
        <v>1629</v>
      </c>
      <c r="E1562" t="s">
        <v>1025</v>
      </c>
      <c r="F1562">
        <v>1</v>
      </c>
    </row>
    <row r="1563" spans="2:6" x14ac:dyDescent="0.15">
      <c r="E1563" t="s">
        <v>968</v>
      </c>
      <c r="F1563">
        <v>2</v>
      </c>
    </row>
    <row r="1564" spans="2:6" x14ac:dyDescent="0.15">
      <c r="E1564" t="s">
        <v>969</v>
      </c>
      <c r="F1564">
        <v>3</v>
      </c>
    </row>
    <row r="1565" spans="2:6" x14ac:dyDescent="0.15">
      <c r="E1565" t="s">
        <v>970</v>
      </c>
      <c r="F1565">
        <v>4</v>
      </c>
    </row>
    <row r="1566" spans="2:6" x14ac:dyDescent="0.15">
      <c r="E1566" t="s">
        <v>1612</v>
      </c>
      <c r="F1566">
        <v>5</v>
      </c>
    </row>
    <row r="1567" spans="2:6" x14ac:dyDescent="0.15">
      <c r="E1567" t="s">
        <v>971</v>
      </c>
      <c r="F1567">
        <v>6</v>
      </c>
    </row>
    <row r="1568" spans="2:6" x14ac:dyDescent="0.15">
      <c r="E1568" t="s">
        <v>1613</v>
      </c>
      <c r="F1568">
        <v>7</v>
      </c>
    </row>
    <row r="1569" spans="2:6" x14ac:dyDescent="0.15">
      <c r="E1569" t="s">
        <v>972</v>
      </c>
      <c r="F1569">
        <v>9999</v>
      </c>
    </row>
    <row r="1570" spans="2:6" x14ac:dyDescent="0.15">
      <c r="E1570" t="s">
        <v>973</v>
      </c>
      <c r="F1570" t="s">
        <v>974</v>
      </c>
    </row>
    <row r="1571" spans="2:6" x14ac:dyDescent="0.15">
      <c r="E1571" t="s">
        <v>975</v>
      </c>
      <c r="F1571" t="s">
        <v>124</v>
      </c>
    </row>
    <row r="1572" spans="2:6" x14ac:dyDescent="0.15">
      <c r="B1572" t="s">
        <v>12</v>
      </c>
      <c r="C1572" t="s">
        <v>1630</v>
      </c>
      <c r="D1572" t="s">
        <v>1631</v>
      </c>
      <c r="E1572" t="s">
        <v>1025</v>
      </c>
      <c r="F1572">
        <v>1</v>
      </c>
    </row>
    <row r="1573" spans="2:6" x14ac:dyDescent="0.15">
      <c r="E1573" t="s">
        <v>968</v>
      </c>
      <c r="F1573">
        <v>2</v>
      </c>
    </row>
    <row r="1574" spans="2:6" x14ac:dyDescent="0.15">
      <c r="E1574" t="s">
        <v>969</v>
      </c>
      <c r="F1574">
        <v>3</v>
      </c>
    </row>
    <row r="1575" spans="2:6" x14ac:dyDescent="0.15">
      <c r="E1575" t="s">
        <v>970</v>
      </c>
      <c r="F1575">
        <v>4</v>
      </c>
    </row>
    <row r="1576" spans="2:6" x14ac:dyDescent="0.15">
      <c r="E1576" t="s">
        <v>1612</v>
      </c>
      <c r="F1576">
        <v>5</v>
      </c>
    </row>
    <row r="1577" spans="2:6" x14ac:dyDescent="0.15">
      <c r="E1577" t="s">
        <v>971</v>
      </c>
      <c r="F1577">
        <v>6</v>
      </c>
    </row>
    <row r="1578" spans="2:6" x14ac:dyDescent="0.15">
      <c r="E1578" t="s">
        <v>1613</v>
      </c>
      <c r="F1578">
        <v>7</v>
      </c>
    </row>
    <row r="1579" spans="2:6" x14ac:dyDescent="0.15">
      <c r="E1579" t="s">
        <v>972</v>
      </c>
      <c r="F1579">
        <v>9999</v>
      </c>
    </row>
    <row r="1580" spans="2:6" x14ac:dyDescent="0.15">
      <c r="E1580" t="s">
        <v>973</v>
      </c>
      <c r="F1580" t="s">
        <v>974</v>
      </c>
    </row>
    <row r="1581" spans="2:6" x14ac:dyDescent="0.15">
      <c r="E1581" t="s">
        <v>975</v>
      </c>
      <c r="F1581" t="s">
        <v>124</v>
      </c>
    </row>
    <row r="1582" spans="2:6" x14ac:dyDescent="0.15">
      <c r="B1582" t="s">
        <v>13</v>
      </c>
      <c r="C1582" t="s">
        <v>1632</v>
      </c>
      <c r="D1582" t="s">
        <v>1633</v>
      </c>
      <c r="E1582" t="s">
        <v>1025</v>
      </c>
      <c r="F1582">
        <v>1</v>
      </c>
    </row>
    <row r="1583" spans="2:6" x14ac:dyDescent="0.15">
      <c r="E1583" t="s">
        <v>968</v>
      </c>
      <c r="F1583">
        <v>2</v>
      </c>
    </row>
    <row r="1584" spans="2:6" x14ac:dyDescent="0.15">
      <c r="E1584" t="s">
        <v>969</v>
      </c>
      <c r="F1584">
        <v>3</v>
      </c>
    </row>
    <row r="1585" spans="2:6" x14ac:dyDescent="0.15">
      <c r="E1585" t="s">
        <v>970</v>
      </c>
      <c r="F1585">
        <v>4</v>
      </c>
    </row>
    <row r="1586" spans="2:6" x14ac:dyDescent="0.15">
      <c r="E1586" t="s">
        <v>1612</v>
      </c>
      <c r="F1586">
        <v>5</v>
      </c>
    </row>
    <row r="1587" spans="2:6" x14ac:dyDescent="0.15">
      <c r="E1587" t="s">
        <v>971</v>
      </c>
      <c r="F1587">
        <v>6</v>
      </c>
    </row>
    <row r="1588" spans="2:6" x14ac:dyDescent="0.15">
      <c r="E1588" t="s">
        <v>1613</v>
      </c>
      <c r="F1588">
        <v>7</v>
      </c>
    </row>
    <row r="1589" spans="2:6" x14ac:dyDescent="0.15">
      <c r="E1589" t="s">
        <v>972</v>
      </c>
      <c r="F1589">
        <v>9999</v>
      </c>
    </row>
    <row r="1590" spans="2:6" x14ac:dyDescent="0.15">
      <c r="E1590" t="s">
        <v>973</v>
      </c>
      <c r="F1590" t="s">
        <v>974</v>
      </c>
    </row>
    <row r="1591" spans="2:6" x14ac:dyDescent="0.15">
      <c r="E1591" t="s">
        <v>975</v>
      </c>
      <c r="F1591" t="s">
        <v>124</v>
      </c>
    </row>
    <row r="1592" spans="2:6" x14ac:dyDescent="0.15">
      <c r="B1592" t="s">
        <v>14</v>
      </c>
      <c r="C1592" t="s">
        <v>1634</v>
      </c>
      <c r="D1592" t="s">
        <v>1635</v>
      </c>
      <c r="E1592" t="s">
        <v>1025</v>
      </c>
      <c r="F1592">
        <v>1</v>
      </c>
    </row>
    <row r="1593" spans="2:6" x14ac:dyDescent="0.15">
      <c r="E1593" t="s">
        <v>968</v>
      </c>
      <c r="F1593">
        <v>2</v>
      </c>
    </row>
    <row r="1594" spans="2:6" x14ac:dyDescent="0.15">
      <c r="E1594" t="s">
        <v>969</v>
      </c>
      <c r="F1594">
        <v>3</v>
      </c>
    </row>
    <row r="1595" spans="2:6" x14ac:dyDescent="0.15">
      <c r="E1595" t="s">
        <v>970</v>
      </c>
      <c r="F1595">
        <v>4</v>
      </c>
    </row>
    <row r="1596" spans="2:6" x14ac:dyDescent="0.15">
      <c r="E1596" t="s">
        <v>1612</v>
      </c>
      <c r="F1596">
        <v>5</v>
      </c>
    </row>
    <row r="1597" spans="2:6" x14ac:dyDescent="0.15">
      <c r="E1597" t="s">
        <v>971</v>
      </c>
      <c r="F1597">
        <v>6</v>
      </c>
    </row>
    <row r="1598" spans="2:6" x14ac:dyDescent="0.15">
      <c r="E1598" t="s">
        <v>1613</v>
      </c>
      <c r="F1598">
        <v>7</v>
      </c>
    </row>
    <row r="1599" spans="2:6" x14ac:dyDescent="0.15">
      <c r="E1599" t="s">
        <v>972</v>
      </c>
      <c r="F1599">
        <v>9999</v>
      </c>
    </row>
    <row r="1600" spans="2:6" x14ac:dyDescent="0.15">
      <c r="E1600" t="s">
        <v>973</v>
      </c>
      <c r="F1600" t="s">
        <v>974</v>
      </c>
    </row>
    <row r="1601" spans="2:6" x14ac:dyDescent="0.15">
      <c r="E1601" t="s">
        <v>975</v>
      </c>
      <c r="F1601" t="s">
        <v>124</v>
      </c>
    </row>
    <row r="1602" spans="2:6" x14ac:dyDescent="0.15">
      <c r="B1602" t="s">
        <v>15</v>
      </c>
      <c r="C1602" t="s">
        <v>1636</v>
      </c>
      <c r="D1602" t="s">
        <v>1637</v>
      </c>
      <c r="E1602" t="s">
        <v>1025</v>
      </c>
      <c r="F1602">
        <v>1</v>
      </c>
    </row>
    <row r="1603" spans="2:6" x14ac:dyDescent="0.15">
      <c r="E1603" t="s">
        <v>968</v>
      </c>
      <c r="F1603">
        <v>2</v>
      </c>
    </row>
    <row r="1604" spans="2:6" x14ac:dyDescent="0.15">
      <c r="E1604" t="s">
        <v>969</v>
      </c>
      <c r="F1604">
        <v>3</v>
      </c>
    </row>
    <row r="1605" spans="2:6" x14ac:dyDescent="0.15">
      <c r="E1605" t="s">
        <v>970</v>
      </c>
      <c r="F1605">
        <v>4</v>
      </c>
    </row>
    <row r="1606" spans="2:6" x14ac:dyDescent="0.15">
      <c r="E1606" t="s">
        <v>1612</v>
      </c>
      <c r="F1606">
        <v>5</v>
      </c>
    </row>
    <row r="1607" spans="2:6" x14ac:dyDescent="0.15">
      <c r="E1607" t="s">
        <v>971</v>
      </c>
      <c r="F1607">
        <v>6</v>
      </c>
    </row>
    <row r="1608" spans="2:6" x14ac:dyDescent="0.15">
      <c r="E1608" t="s">
        <v>1613</v>
      </c>
      <c r="F1608">
        <v>7</v>
      </c>
    </row>
    <row r="1609" spans="2:6" x14ac:dyDescent="0.15">
      <c r="E1609" t="s">
        <v>972</v>
      </c>
      <c r="F1609">
        <v>9999</v>
      </c>
    </row>
    <row r="1610" spans="2:6" x14ac:dyDescent="0.15">
      <c r="E1610" t="s">
        <v>973</v>
      </c>
      <c r="F1610" t="s">
        <v>974</v>
      </c>
    </row>
    <row r="1611" spans="2:6" x14ac:dyDescent="0.15">
      <c r="E1611" t="s">
        <v>975</v>
      </c>
      <c r="F1611" t="s">
        <v>124</v>
      </c>
    </row>
    <row r="1612" spans="2:6" x14ac:dyDescent="0.15">
      <c r="B1612" t="s">
        <v>16</v>
      </c>
      <c r="C1612" t="s">
        <v>1638</v>
      </c>
      <c r="D1612" t="s">
        <v>1639</v>
      </c>
      <c r="E1612" t="s">
        <v>1025</v>
      </c>
      <c r="F1612">
        <v>1</v>
      </c>
    </row>
    <row r="1613" spans="2:6" x14ac:dyDescent="0.15">
      <c r="E1613" t="s">
        <v>968</v>
      </c>
      <c r="F1613">
        <v>2</v>
      </c>
    </row>
    <row r="1614" spans="2:6" x14ac:dyDescent="0.15">
      <c r="E1614" t="s">
        <v>969</v>
      </c>
      <c r="F1614">
        <v>3</v>
      </c>
    </row>
    <row r="1615" spans="2:6" x14ac:dyDescent="0.15">
      <c r="E1615" t="s">
        <v>970</v>
      </c>
      <c r="F1615">
        <v>4</v>
      </c>
    </row>
    <row r="1616" spans="2:6" x14ac:dyDescent="0.15">
      <c r="E1616" t="s">
        <v>1612</v>
      </c>
      <c r="F1616">
        <v>5</v>
      </c>
    </row>
    <row r="1617" spans="2:6" x14ac:dyDescent="0.15">
      <c r="E1617" t="s">
        <v>971</v>
      </c>
      <c r="F1617">
        <v>6</v>
      </c>
    </row>
    <row r="1618" spans="2:6" x14ac:dyDescent="0.15">
      <c r="E1618" t="s">
        <v>1613</v>
      </c>
      <c r="F1618">
        <v>7</v>
      </c>
    </row>
    <row r="1619" spans="2:6" x14ac:dyDescent="0.15">
      <c r="E1619" t="s">
        <v>972</v>
      </c>
      <c r="F1619">
        <v>9999</v>
      </c>
    </row>
    <row r="1620" spans="2:6" x14ac:dyDescent="0.15">
      <c r="E1620" t="s">
        <v>973</v>
      </c>
      <c r="F1620" t="s">
        <v>974</v>
      </c>
    </row>
    <row r="1621" spans="2:6" x14ac:dyDescent="0.15">
      <c r="E1621" t="s">
        <v>975</v>
      </c>
      <c r="F1621" t="s">
        <v>124</v>
      </c>
    </row>
    <row r="1622" spans="2:6" x14ac:dyDescent="0.15">
      <c r="B1622" t="s">
        <v>17</v>
      </c>
      <c r="C1622" t="s">
        <v>1640</v>
      </c>
      <c r="D1622" t="s">
        <v>1641</v>
      </c>
      <c r="E1622" t="s">
        <v>1025</v>
      </c>
      <c r="F1622">
        <v>1</v>
      </c>
    </row>
    <row r="1623" spans="2:6" x14ac:dyDescent="0.15">
      <c r="E1623" t="s">
        <v>968</v>
      </c>
      <c r="F1623">
        <v>2</v>
      </c>
    </row>
    <row r="1624" spans="2:6" x14ac:dyDescent="0.15">
      <c r="E1624" t="s">
        <v>969</v>
      </c>
      <c r="F1624">
        <v>3</v>
      </c>
    </row>
    <row r="1625" spans="2:6" x14ac:dyDescent="0.15">
      <c r="E1625" t="s">
        <v>970</v>
      </c>
      <c r="F1625">
        <v>4</v>
      </c>
    </row>
    <row r="1626" spans="2:6" x14ac:dyDescent="0.15">
      <c r="E1626" t="s">
        <v>1612</v>
      </c>
      <c r="F1626">
        <v>5</v>
      </c>
    </row>
    <row r="1627" spans="2:6" x14ac:dyDescent="0.15">
      <c r="E1627" t="s">
        <v>971</v>
      </c>
      <c r="F1627">
        <v>6</v>
      </c>
    </row>
    <row r="1628" spans="2:6" x14ac:dyDescent="0.15">
      <c r="E1628" t="s">
        <v>1613</v>
      </c>
      <c r="F1628">
        <v>7</v>
      </c>
    </row>
    <row r="1629" spans="2:6" x14ac:dyDescent="0.15">
      <c r="E1629" t="s">
        <v>972</v>
      </c>
      <c r="F1629">
        <v>9999</v>
      </c>
    </row>
    <row r="1630" spans="2:6" x14ac:dyDescent="0.15">
      <c r="E1630" t="s">
        <v>973</v>
      </c>
      <c r="F1630" t="s">
        <v>974</v>
      </c>
    </row>
    <row r="1631" spans="2:6" x14ac:dyDescent="0.15">
      <c r="E1631" t="s">
        <v>975</v>
      </c>
      <c r="F1631" t="s">
        <v>124</v>
      </c>
    </row>
    <row r="1632" spans="2:6" x14ac:dyDescent="0.15">
      <c r="B1632" t="s">
        <v>18</v>
      </c>
      <c r="C1632" t="s">
        <v>1642</v>
      </c>
      <c r="D1632" t="s">
        <v>1643</v>
      </c>
      <c r="E1632" t="s">
        <v>1025</v>
      </c>
      <c r="F1632">
        <v>1</v>
      </c>
    </row>
    <row r="1633" spans="2:6" x14ac:dyDescent="0.15">
      <c r="E1633" t="s">
        <v>968</v>
      </c>
      <c r="F1633">
        <v>2</v>
      </c>
    </row>
    <row r="1634" spans="2:6" x14ac:dyDescent="0.15">
      <c r="E1634" t="s">
        <v>969</v>
      </c>
      <c r="F1634">
        <v>3</v>
      </c>
    </row>
    <row r="1635" spans="2:6" x14ac:dyDescent="0.15">
      <c r="E1635" t="s">
        <v>970</v>
      </c>
      <c r="F1635">
        <v>4</v>
      </c>
    </row>
    <row r="1636" spans="2:6" x14ac:dyDescent="0.15">
      <c r="E1636" t="s">
        <v>1612</v>
      </c>
      <c r="F1636">
        <v>5</v>
      </c>
    </row>
    <row r="1637" spans="2:6" x14ac:dyDescent="0.15">
      <c r="E1637" t="s">
        <v>971</v>
      </c>
      <c r="F1637">
        <v>6</v>
      </c>
    </row>
    <row r="1638" spans="2:6" x14ac:dyDescent="0.15">
      <c r="E1638" t="s">
        <v>1613</v>
      </c>
      <c r="F1638">
        <v>7</v>
      </c>
    </row>
    <row r="1639" spans="2:6" x14ac:dyDescent="0.15">
      <c r="E1639" t="s">
        <v>972</v>
      </c>
      <c r="F1639">
        <v>9999</v>
      </c>
    </row>
    <row r="1640" spans="2:6" x14ac:dyDescent="0.15">
      <c r="E1640" t="s">
        <v>973</v>
      </c>
      <c r="F1640" t="s">
        <v>974</v>
      </c>
    </row>
    <row r="1641" spans="2:6" x14ac:dyDescent="0.15">
      <c r="E1641" t="s">
        <v>975</v>
      </c>
      <c r="F1641" t="s">
        <v>124</v>
      </c>
    </row>
    <row r="1642" spans="2:6" x14ac:dyDescent="0.15">
      <c r="B1642" t="s">
        <v>19</v>
      </c>
      <c r="C1642" t="s">
        <v>1644</v>
      </c>
      <c r="D1642" t="s">
        <v>1645</v>
      </c>
      <c r="E1642" t="s">
        <v>1025</v>
      </c>
      <c r="F1642">
        <v>1</v>
      </c>
    </row>
    <row r="1643" spans="2:6" x14ac:dyDescent="0.15">
      <c r="E1643" t="s">
        <v>968</v>
      </c>
      <c r="F1643">
        <v>2</v>
      </c>
    </row>
    <row r="1644" spans="2:6" x14ac:dyDescent="0.15">
      <c r="E1644" t="s">
        <v>969</v>
      </c>
      <c r="F1644">
        <v>3</v>
      </c>
    </row>
    <row r="1645" spans="2:6" x14ac:dyDescent="0.15">
      <c r="E1645" t="s">
        <v>970</v>
      </c>
      <c r="F1645">
        <v>4</v>
      </c>
    </row>
    <row r="1646" spans="2:6" x14ac:dyDescent="0.15">
      <c r="E1646" t="s">
        <v>1612</v>
      </c>
      <c r="F1646">
        <v>5</v>
      </c>
    </row>
    <row r="1647" spans="2:6" x14ac:dyDescent="0.15">
      <c r="E1647" t="s">
        <v>971</v>
      </c>
      <c r="F1647">
        <v>6</v>
      </c>
    </row>
    <row r="1648" spans="2:6" x14ac:dyDescent="0.15">
      <c r="E1648" t="s">
        <v>1613</v>
      </c>
      <c r="F1648">
        <v>7</v>
      </c>
    </row>
    <row r="1649" spans="2:6" x14ac:dyDescent="0.15">
      <c r="E1649" t="s">
        <v>972</v>
      </c>
      <c r="F1649">
        <v>9999</v>
      </c>
    </row>
    <row r="1650" spans="2:6" x14ac:dyDescent="0.15">
      <c r="E1650" t="s">
        <v>973</v>
      </c>
      <c r="F1650" t="s">
        <v>974</v>
      </c>
    </row>
    <row r="1651" spans="2:6" x14ac:dyDescent="0.15">
      <c r="E1651" t="s">
        <v>975</v>
      </c>
      <c r="F1651" t="s">
        <v>124</v>
      </c>
    </row>
    <row r="1652" spans="2:6" x14ac:dyDescent="0.15">
      <c r="B1652" t="s">
        <v>20</v>
      </c>
      <c r="C1652" t="s">
        <v>1646</v>
      </c>
      <c r="D1652" t="s">
        <v>1647</v>
      </c>
      <c r="E1652" t="s">
        <v>1025</v>
      </c>
      <c r="F1652">
        <v>1</v>
      </c>
    </row>
    <row r="1653" spans="2:6" x14ac:dyDescent="0.15">
      <c r="E1653" t="s">
        <v>968</v>
      </c>
      <c r="F1653">
        <v>2</v>
      </c>
    </row>
    <row r="1654" spans="2:6" x14ac:dyDescent="0.15">
      <c r="E1654" t="s">
        <v>969</v>
      </c>
      <c r="F1654">
        <v>3</v>
      </c>
    </row>
    <row r="1655" spans="2:6" x14ac:dyDescent="0.15">
      <c r="E1655" t="s">
        <v>970</v>
      </c>
      <c r="F1655">
        <v>4</v>
      </c>
    </row>
    <row r="1656" spans="2:6" x14ac:dyDescent="0.15">
      <c r="E1656" t="s">
        <v>1612</v>
      </c>
      <c r="F1656">
        <v>5</v>
      </c>
    </row>
    <row r="1657" spans="2:6" x14ac:dyDescent="0.15">
      <c r="E1657" t="s">
        <v>971</v>
      </c>
      <c r="F1657">
        <v>6</v>
      </c>
    </row>
    <row r="1658" spans="2:6" x14ac:dyDescent="0.15">
      <c r="E1658" t="s">
        <v>1613</v>
      </c>
      <c r="F1658">
        <v>7</v>
      </c>
    </row>
    <row r="1659" spans="2:6" x14ac:dyDescent="0.15">
      <c r="E1659" t="s">
        <v>972</v>
      </c>
      <c r="F1659">
        <v>9999</v>
      </c>
    </row>
    <row r="1660" spans="2:6" x14ac:dyDescent="0.15">
      <c r="E1660" t="s">
        <v>973</v>
      </c>
      <c r="F1660" t="s">
        <v>974</v>
      </c>
    </row>
    <row r="1661" spans="2:6" x14ac:dyDescent="0.15">
      <c r="E1661" t="s">
        <v>975</v>
      </c>
      <c r="F1661" t="s">
        <v>124</v>
      </c>
    </row>
    <row r="1662" spans="2:6" x14ac:dyDescent="0.15">
      <c r="B1662" t="s">
        <v>21</v>
      </c>
      <c r="C1662" t="s">
        <v>1648</v>
      </c>
      <c r="D1662" t="s">
        <v>1649</v>
      </c>
      <c r="E1662" t="s">
        <v>1025</v>
      </c>
      <c r="F1662">
        <v>1</v>
      </c>
    </row>
    <row r="1663" spans="2:6" x14ac:dyDescent="0.15">
      <c r="E1663" t="s">
        <v>968</v>
      </c>
      <c r="F1663">
        <v>2</v>
      </c>
    </row>
    <row r="1664" spans="2:6" x14ac:dyDescent="0.15">
      <c r="E1664" t="s">
        <v>969</v>
      </c>
      <c r="F1664">
        <v>3</v>
      </c>
    </row>
    <row r="1665" spans="2:6" x14ac:dyDescent="0.15">
      <c r="E1665" t="s">
        <v>970</v>
      </c>
      <c r="F1665">
        <v>4</v>
      </c>
    </row>
    <row r="1666" spans="2:6" x14ac:dyDescent="0.15">
      <c r="E1666" t="s">
        <v>1612</v>
      </c>
      <c r="F1666">
        <v>5</v>
      </c>
    </row>
    <row r="1667" spans="2:6" x14ac:dyDescent="0.15">
      <c r="E1667" t="s">
        <v>971</v>
      </c>
      <c r="F1667">
        <v>6</v>
      </c>
    </row>
    <row r="1668" spans="2:6" x14ac:dyDescent="0.15">
      <c r="E1668" t="s">
        <v>1613</v>
      </c>
      <c r="F1668">
        <v>7</v>
      </c>
    </row>
    <row r="1669" spans="2:6" x14ac:dyDescent="0.15">
      <c r="E1669" t="s">
        <v>972</v>
      </c>
      <c r="F1669">
        <v>9999</v>
      </c>
    </row>
    <row r="1670" spans="2:6" x14ac:dyDescent="0.15">
      <c r="E1670" t="s">
        <v>973</v>
      </c>
      <c r="F1670" t="s">
        <v>974</v>
      </c>
    </row>
    <row r="1671" spans="2:6" x14ac:dyDescent="0.15">
      <c r="E1671" t="s">
        <v>975</v>
      </c>
      <c r="F1671" t="s">
        <v>124</v>
      </c>
    </row>
    <row r="1672" spans="2:6" x14ac:dyDescent="0.15">
      <c r="B1672" t="s">
        <v>22</v>
      </c>
      <c r="C1672" t="s">
        <v>1650</v>
      </c>
      <c r="D1672" t="s">
        <v>1651</v>
      </c>
      <c r="E1672" t="s">
        <v>1025</v>
      </c>
      <c r="F1672">
        <v>1</v>
      </c>
    </row>
    <row r="1673" spans="2:6" x14ac:dyDescent="0.15">
      <c r="E1673" t="s">
        <v>968</v>
      </c>
      <c r="F1673">
        <v>2</v>
      </c>
    </row>
    <row r="1674" spans="2:6" x14ac:dyDescent="0.15">
      <c r="E1674" t="s">
        <v>969</v>
      </c>
      <c r="F1674">
        <v>3</v>
      </c>
    </row>
    <row r="1675" spans="2:6" x14ac:dyDescent="0.15">
      <c r="E1675" t="s">
        <v>970</v>
      </c>
      <c r="F1675">
        <v>4</v>
      </c>
    </row>
    <row r="1676" spans="2:6" x14ac:dyDescent="0.15">
      <c r="E1676" t="s">
        <v>1612</v>
      </c>
      <c r="F1676">
        <v>5</v>
      </c>
    </row>
    <row r="1677" spans="2:6" x14ac:dyDescent="0.15">
      <c r="E1677" t="s">
        <v>971</v>
      </c>
      <c r="F1677">
        <v>6</v>
      </c>
    </row>
    <row r="1678" spans="2:6" x14ac:dyDescent="0.15">
      <c r="E1678" t="s">
        <v>1613</v>
      </c>
      <c r="F1678">
        <v>7</v>
      </c>
    </row>
    <row r="1679" spans="2:6" x14ac:dyDescent="0.15">
      <c r="E1679" t="s">
        <v>972</v>
      </c>
      <c r="F1679">
        <v>9999</v>
      </c>
    </row>
    <row r="1680" spans="2:6" x14ac:dyDescent="0.15">
      <c r="E1680" t="s">
        <v>973</v>
      </c>
      <c r="F1680" t="s">
        <v>974</v>
      </c>
    </row>
    <row r="1681" spans="2:6" x14ac:dyDescent="0.15">
      <c r="E1681" t="s">
        <v>975</v>
      </c>
      <c r="F1681" t="s">
        <v>124</v>
      </c>
    </row>
    <row r="1682" spans="2:6" x14ac:dyDescent="0.15">
      <c r="B1682" t="s">
        <v>23</v>
      </c>
      <c r="C1682" t="e">
        <f>- Active refusal to comply with the will of significant others, including the interviewer, hospital staff, or family, which may be associated with distrust, defensiveness, stubbornness, negativism, rejection of authority, hostility, or belligerence.</f>
        <v>#NAME?</v>
      </c>
      <c r="D1682" t="s">
        <v>1652</v>
      </c>
      <c r="E1682" t="s">
        <v>1025</v>
      </c>
      <c r="F1682">
        <v>1</v>
      </c>
    </row>
    <row r="1683" spans="2:6" x14ac:dyDescent="0.15">
      <c r="E1683" t="s">
        <v>968</v>
      </c>
      <c r="F1683">
        <v>2</v>
      </c>
    </row>
    <row r="1684" spans="2:6" x14ac:dyDescent="0.15">
      <c r="E1684" t="s">
        <v>969</v>
      </c>
      <c r="F1684">
        <v>3</v>
      </c>
    </row>
    <row r="1685" spans="2:6" x14ac:dyDescent="0.15">
      <c r="E1685" t="s">
        <v>970</v>
      </c>
      <c r="F1685">
        <v>4</v>
      </c>
    </row>
    <row r="1686" spans="2:6" x14ac:dyDescent="0.15">
      <c r="E1686" t="s">
        <v>1612</v>
      </c>
      <c r="F1686">
        <v>5</v>
      </c>
    </row>
    <row r="1687" spans="2:6" x14ac:dyDescent="0.15">
      <c r="E1687" t="s">
        <v>971</v>
      </c>
      <c r="F1687">
        <v>6</v>
      </c>
    </row>
    <row r="1688" spans="2:6" x14ac:dyDescent="0.15">
      <c r="E1688" t="s">
        <v>1613</v>
      </c>
      <c r="F1688">
        <v>7</v>
      </c>
    </row>
    <row r="1689" spans="2:6" x14ac:dyDescent="0.15">
      <c r="E1689" t="s">
        <v>972</v>
      </c>
      <c r="F1689">
        <v>9999</v>
      </c>
    </row>
    <row r="1690" spans="2:6" x14ac:dyDescent="0.15">
      <c r="E1690" t="s">
        <v>973</v>
      </c>
      <c r="F1690" t="s">
        <v>974</v>
      </c>
    </row>
    <row r="1691" spans="2:6" x14ac:dyDescent="0.15">
      <c r="E1691" t="s">
        <v>975</v>
      </c>
      <c r="F1691" t="s">
        <v>124</v>
      </c>
    </row>
    <row r="1692" spans="2:6" x14ac:dyDescent="0.15">
      <c r="B1692" t="s">
        <v>24</v>
      </c>
      <c r="C1692" t="s">
        <v>1653</v>
      </c>
      <c r="D1692" t="s">
        <v>1654</v>
      </c>
      <c r="E1692" t="s">
        <v>1025</v>
      </c>
      <c r="F1692">
        <v>1</v>
      </c>
    </row>
    <row r="1693" spans="2:6" x14ac:dyDescent="0.15">
      <c r="E1693" t="s">
        <v>968</v>
      </c>
      <c r="F1693">
        <v>2</v>
      </c>
    </row>
    <row r="1694" spans="2:6" x14ac:dyDescent="0.15">
      <c r="E1694" t="s">
        <v>969</v>
      </c>
      <c r="F1694">
        <v>3</v>
      </c>
    </row>
    <row r="1695" spans="2:6" x14ac:dyDescent="0.15">
      <c r="E1695" t="s">
        <v>970</v>
      </c>
      <c r="F1695">
        <v>4</v>
      </c>
    </row>
    <row r="1696" spans="2:6" x14ac:dyDescent="0.15">
      <c r="E1696" t="s">
        <v>1612</v>
      </c>
      <c r="F1696">
        <v>5</v>
      </c>
    </row>
    <row r="1697" spans="2:6" x14ac:dyDescent="0.15">
      <c r="E1697" t="s">
        <v>971</v>
      </c>
      <c r="F1697">
        <v>6</v>
      </c>
    </row>
    <row r="1698" spans="2:6" x14ac:dyDescent="0.15">
      <c r="E1698" t="s">
        <v>1613</v>
      </c>
      <c r="F1698">
        <v>7</v>
      </c>
    </row>
    <row r="1699" spans="2:6" x14ac:dyDescent="0.15">
      <c r="E1699" t="s">
        <v>972</v>
      </c>
      <c r="F1699">
        <v>9999</v>
      </c>
    </row>
    <row r="1700" spans="2:6" x14ac:dyDescent="0.15">
      <c r="E1700" t="s">
        <v>973</v>
      </c>
      <c r="F1700" t="s">
        <v>974</v>
      </c>
    </row>
    <row r="1701" spans="2:6" x14ac:dyDescent="0.15">
      <c r="E1701" t="s">
        <v>975</v>
      </c>
      <c r="F1701" t="s">
        <v>124</v>
      </c>
    </row>
    <row r="1702" spans="2:6" x14ac:dyDescent="0.15">
      <c r="B1702" t="s">
        <v>25</v>
      </c>
      <c r="C1702" t="s">
        <v>1655</v>
      </c>
      <c r="D1702" t="s">
        <v>1656</v>
      </c>
      <c r="E1702" t="s">
        <v>1025</v>
      </c>
      <c r="F1702">
        <v>1</v>
      </c>
    </row>
    <row r="1703" spans="2:6" x14ac:dyDescent="0.15">
      <c r="E1703" t="s">
        <v>968</v>
      </c>
      <c r="F1703">
        <v>2</v>
      </c>
    </row>
    <row r="1704" spans="2:6" x14ac:dyDescent="0.15">
      <c r="E1704" t="s">
        <v>969</v>
      </c>
      <c r="F1704">
        <v>3</v>
      </c>
    </row>
    <row r="1705" spans="2:6" x14ac:dyDescent="0.15">
      <c r="E1705" t="s">
        <v>970</v>
      </c>
      <c r="F1705">
        <v>4</v>
      </c>
    </row>
    <row r="1706" spans="2:6" x14ac:dyDescent="0.15">
      <c r="E1706" t="s">
        <v>1612</v>
      </c>
      <c r="F1706">
        <v>5</v>
      </c>
    </row>
    <row r="1707" spans="2:6" x14ac:dyDescent="0.15">
      <c r="E1707" t="s">
        <v>971</v>
      </c>
      <c r="F1707">
        <v>6</v>
      </c>
    </row>
    <row r="1708" spans="2:6" x14ac:dyDescent="0.15">
      <c r="E1708" t="s">
        <v>1613</v>
      </c>
      <c r="F1708">
        <v>7</v>
      </c>
    </row>
    <row r="1709" spans="2:6" x14ac:dyDescent="0.15">
      <c r="E1709" t="s">
        <v>972</v>
      </c>
      <c r="F1709">
        <v>9999</v>
      </c>
    </row>
    <row r="1710" spans="2:6" x14ac:dyDescent="0.15">
      <c r="E1710" t="s">
        <v>973</v>
      </c>
      <c r="F1710" t="s">
        <v>974</v>
      </c>
    </row>
    <row r="1711" spans="2:6" x14ac:dyDescent="0.15">
      <c r="E1711" t="s">
        <v>975</v>
      </c>
      <c r="F1711" t="s">
        <v>124</v>
      </c>
    </row>
    <row r="1712" spans="2:6" x14ac:dyDescent="0.15">
      <c r="B1712" t="s">
        <v>26</v>
      </c>
      <c r="C1712" t="s">
        <v>1657</v>
      </c>
      <c r="D1712" t="s">
        <v>1658</v>
      </c>
      <c r="E1712" t="s">
        <v>1025</v>
      </c>
      <c r="F1712">
        <v>1</v>
      </c>
    </row>
    <row r="1713" spans="2:6" x14ac:dyDescent="0.15">
      <c r="E1713" t="s">
        <v>968</v>
      </c>
      <c r="F1713">
        <v>2</v>
      </c>
    </row>
    <row r="1714" spans="2:6" x14ac:dyDescent="0.15">
      <c r="E1714" t="s">
        <v>969</v>
      </c>
      <c r="F1714">
        <v>3</v>
      </c>
    </row>
    <row r="1715" spans="2:6" x14ac:dyDescent="0.15">
      <c r="E1715" t="s">
        <v>970</v>
      </c>
      <c r="F1715">
        <v>4</v>
      </c>
    </row>
    <row r="1716" spans="2:6" x14ac:dyDescent="0.15">
      <c r="E1716" t="s">
        <v>1612</v>
      </c>
      <c r="F1716">
        <v>5</v>
      </c>
    </row>
    <row r="1717" spans="2:6" x14ac:dyDescent="0.15">
      <c r="E1717" t="s">
        <v>971</v>
      </c>
      <c r="F1717">
        <v>6</v>
      </c>
    </row>
    <row r="1718" spans="2:6" x14ac:dyDescent="0.15">
      <c r="E1718" t="s">
        <v>1613</v>
      </c>
      <c r="F1718">
        <v>7</v>
      </c>
    </row>
    <row r="1719" spans="2:6" x14ac:dyDescent="0.15">
      <c r="E1719" t="s">
        <v>972</v>
      </c>
      <c r="F1719">
        <v>9999</v>
      </c>
    </row>
    <row r="1720" spans="2:6" x14ac:dyDescent="0.15">
      <c r="E1720" t="s">
        <v>973</v>
      </c>
      <c r="F1720" t="s">
        <v>974</v>
      </c>
    </row>
    <row r="1721" spans="2:6" x14ac:dyDescent="0.15">
      <c r="E1721" t="s">
        <v>975</v>
      </c>
      <c r="F1721" t="s">
        <v>124</v>
      </c>
    </row>
    <row r="1722" spans="2:6" x14ac:dyDescent="0.15">
      <c r="B1722" t="s">
        <v>27</v>
      </c>
      <c r="C1722" s="17" t="s">
        <v>1659</v>
      </c>
      <c r="D1722" t="s">
        <v>1660</v>
      </c>
      <c r="E1722" t="s">
        <v>1025</v>
      </c>
      <c r="F1722">
        <v>1</v>
      </c>
    </row>
    <row r="1723" spans="2:6" x14ac:dyDescent="0.15">
      <c r="E1723" t="s">
        <v>968</v>
      </c>
      <c r="F1723">
        <v>2</v>
      </c>
    </row>
    <row r="1724" spans="2:6" x14ac:dyDescent="0.15">
      <c r="E1724" t="s">
        <v>969</v>
      </c>
      <c r="F1724">
        <v>3</v>
      </c>
    </row>
    <row r="1725" spans="2:6" x14ac:dyDescent="0.15">
      <c r="E1725" t="s">
        <v>970</v>
      </c>
      <c r="F1725">
        <v>4</v>
      </c>
    </row>
    <row r="1726" spans="2:6" x14ac:dyDescent="0.15">
      <c r="E1726" t="s">
        <v>1612</v>
      </c>
      <c r="F1726">
        <v>5</v>
      </c>
    </row>
    <row r="1727" spans="2:6" x14ac:dyDescent="0.15">
      <c r="E1727" t="s">
        <v>971</v>
      </c>
      <c r="F1727">
        <v>6</v>
      </c>
    </row>
    <row r="1728" spans="2:6" x14ac:dyDescent="0.15">
      <c r="E1728" t="s">
        <v>1613</v>
      </c>
      <c r="F1728">
        <v>7</v>
      </c>
    </row>
    <row r="1729" spans="2:6" x14ac:dyDescent="0.15">
      <c r="E1729" t="s">
        <v>972</v>
      </c>
      <c r="F1729">
        <v>9999</v>
      </c>
    </row>
    <row r="1730" spans="2:6" x14ac:dyDescent="0.15">
      <c r="E1730" t="s">
        <v>973</v>
      </c>
      <c r="F1730" t="s">
        <v>974</v>
      </c>
    </row>
    <row r="1731" spans="2:6" x14ac:dyDescent="0.15">
      <c r="E1731" t="s">
        <v>975</v>
      </c>
      <c r="F1731" t="s">
        <v>124</v>
      </c>
    </row>
    <row r="1732" spans="2:6" x14ac:dyDescent="0.15">
      <c r="B1732" t="s">
        <v>28</v>
      </c>
      <c r="C1732" t="s">
        <v>1661</v>
      </c>
      <c r="D1732" t="s">
        <v>1662</v>
      </c>
      <c r="E1732" t="s">
        <v>1025</v>
      </c>
      <c r="F1732">
        <v>1</v>
      </c>
    </row>
    <row r="1733" spans="2:6" x14ac:dyDescent="0.15">
      <c r="E1733" t="s">
        <v>968</v>
      </c>
      <c r="F1733">
        <v>2</v>
      </c>
    </row>
    <row r="1734" spans="2:6" x14ac:dyDescent="0.15">
      <c r="E1734" t="s">
        <v>969</v>
      </c>
      <c r="F1734">
        <v>3</v>
      </c>
    </row>
    <row r="1735" spans="2:6" x14ac:dyDescent="0.15">
      <c r="E1735" t="s">
        <v>970</v>
      </c>
      <c r="F1735">
        <v>4</v>
      </c>
    </row>
    <row r="1736" spans="2:6" x14ac:dyDescent="0.15">
      <c r="E1736" t="s">
        <v>1612</v>
      </c>
      <c r="F1736">
        <v>5</v>
      </c>
    </row>
    <row r="1737" spans="2:6" x14ac:dyDescent="0.15">
      <c r="E1737" t="s">
        <v>971</v>
      </c>
      <c r="F1737">
        <v>6</v>
      </c>
    </row>
    <row r="1738" spans="2:6" x14ac:dyDescent="0.15">
      <c r="E1738" t="s">
        <v>1613</v>
      </c>
      <c r="F1738">
        <v>7</v>
      </c>
    </row>
    <row r="1739" spans="2:6" x14ac:dyDescent="0.15">
      <c r="E1739" t="s">
        <v>972</v>
      </c>
      <c r="F1739">
        <v>9999</v>
      </c>
    </row>
    <row r="1740" spans="2:6" x14ac:dyDescent="0.15">
      <c r="E1740" t="s">
        <v>973</v>
      </c>
      <c r="F1740" t="s">
        <v>974</v>
      </c>
    </row>
    <row r="1741" spans="2:6" x14ac:dyDescent="0.15">
      <c r="E1741" t="s">
        <v>975</v>
      </c>
      <c r="F1741" t="s">
        <v>124</v>
      </c>
    </row>
    <row r="1742" spans="2:6" x14ac:dyDescent="0.15">
      <c r="B1742" t="s">
        <v>29</v>
      </c>
      <c r="D1742" t="s">
        <v>1663</v>
      </c>
      <c r="E1742">
        <v>1</v>
      </c>
      <c r="F1742">
        <v>1</v>
      </c>
    </row>
    <row r="1743" spans="2:6" x14ac:dyDescent="0.15">
      <c r="E1743">
        <v>2</v>
      </c>
      <c r="F1743">
        <v>2</v>
      </c>
    </row>
    <row r="1744" spans="2:6" x14ac:dyDescent="0.15">
      <c r="E1744">
        <v>3</v>
      </c>
      <c r="F1744">
        <v>3</v>
      </c>
    </row>
    <row r="1745" spans="2:6" x14ac:dyDescent="0.15">
      <c r="E1745">
        <v>4</v>
      </c>
      <c r="F1745">
        <v>4</v>
      </c>
    </row>
    <row r="1746" spans="2:6" x14ac:dyDescent="0.15">
      <c r="E1746">
        <v>5</v>
      </c>
      <c r="F1746">
        <v>5</v>
      </c>
    </row>
    <row r="1747" spans="2:6" x14ac:dyDescent="0.15">
      <c r="E1747">
        <v>6</v>
      </c>
      <c r="F1747">
        <v>6</v>
      </c>
    </row>
    <row r="1748" spans="2:6" x14ac:dyDescent="0.15">
      <c r="E1748">
        <v>7</v>
      </c>
      <c r="F1748">
        <v>7</v>
      </c>
    </row>
    <row r="1749" spans="2:6" x14ac:dyDescent="0.15">
      <c r="E1749" t="s">
        <v>972</v>
      </c>
      <c r="F1749">
        <v>9999</v>
      </c>
    </row>
    <row r="1750" spans="2:6" x14ac:dyDescent="0.15">
      <c r="E1750" t="s">
        <v>973</v>
      </c>
      <c r="F1750" t="s">
        <v>974</v>
      </c>
    </row>
    <row r="1751" spans="2:6" x14ac:dyDescent="0.15">
      <c r="E1751" t="s">
        <v>975</v>
      </c>
      <c r="F1751" t="s">
        <v>124</v>
      </c>
    </row>
    <row r="1752" spans="2:6" x14ac:dyDescent="0.15">
      <c r="B1752" t="s">
        <v>30</v>
      </c>
      <c r="C1752" t="s">
        <v>1664</v>
      </c>
      <c r="D1752" t="s">
        <v>1665</v>
      </c>
      <c r="E1752" t="s">
        <v>1025</v>
      </c>
      <c r="F1752">
        <v>1</v>
      </c>
    </row>
    <row r="1753" spans="2:6" x14ac:dyDescent="0.15">
      <c r="E1753" t="s">
        <v>968</v>
      </c>
      <c r="F1753">
        <v>2</v>
      </c>
    </row>
    <row r="1754" spans="2:6" x14ac:dyDescent="0.15">
      <c r="E1754" t="s">
        <v>969</v>
      </c>
      <c r="F1754">
        <v>3</v>
      </c>
    </row>
    <row r="1755" spans="2:6" x14ac:dyDescent="0.15">
      <c r="E1755" t="s">
        <v>970</v>
      </c>
      <c r="F1755">
        <v>4</v>
      </c>
    </row>
    <row r="1756" spans="2:6" x14ac:dyDescent="0.15">
      <c r="E1756" t="s">
        <v>1612</v>
      </c>
      <c r="F1756">
        <v>5</v>
      </c>
    </row>
    <row r="1757" spans="2:6" x14ac:dyDescent="0.15">
      <c r="E1757" t="s">
        <v>971</v>
      </c>
      <c r="F1757">
        <v>6</v>
      </c>
    </row>
    <row r="1758" spans="2:6" x14ac:dyDescent="0.15">
      <c r="E1758" t="s">
        <v>1613</v>
      </c>
      <c r="F1758">
        <v>7</v>
      </c>
    </row>
    <row r="1759" spans="2:6" x14ac:dyDescent="0.15">
      <c r="E1759" t="s">
        <v>972</v>
      </c>
      <c r="F1759">
        <v>9999</v>
      </c>
    </row>
    <row r="1760" spans="2:6" x14ac:dyDescent="0.15">
      <c r="E1760" t="s">
        <v>973</v>
      </c>
      <c r="F1760" t="s">
        <v>974</v>
      </c>
    </row>
    <row r="1761" spans="1:6" x14ac:dyDescent="0.15">
      <c r="E1761" t="s">
        <v>975</v>
      </c>
      <c r="F1761" t="s">
        <v>124</v>
      </c>
    </row>
    <row r="1762" spans="1:6" x14ac:dyDescent="0.15">
      <c r="B1762" t="s">
        <v>31</v>
      </c>
      <c r="C1762" t="e">
        <f>- Diminished social involvement associated with unwarranted fear, hostility, or distrust.</f>
        <v>#NAME?</v>
      </c>
      <c r="D1762" t="s">
        <v>1666</v>
      </c>
      <c r="E1762" t="s">
        <v>1025</v>
      </c>
      <c r="F1762">
        <v>1</v>
      </c>
    </row>
    <row r="1763" spans="1:6" x14ac:dyDescent="0.15">
      <c r="E1763" t="s">
        <v>968</v>
      </c>
      <c r="F1763">
        <v>2</v>
      </c>
    </row>
    <row r="1764" spans="1:6" x14ac:dyDescent="0.15">
      <c r="E1764" t="s">
        <v>969</v>
      </c>
      <c r="F1764">
        <v>3</v>
      </c>
    </row>
    <row r="1765" spans="1:6" x14ac:dyDescent="0.15">
      <c r="E1765" t="s">
        <v>970</v>
      </c>
      <c r="F1765">
        <v>4</v>
      </c>
    </row>
    <row r="1766" spans="1:6" x14ac:dyDescent="0.15">
      <c r="E1766" t="s">
        <v>1612</v>
      </c>
      <c r="F1766">
        <v>5</v>
      </c>
    </row>
    <row r="1767" spans="1:6" x14ac:dyDescent="0.15">
      <c r="E1767" t="s">
        <v>971</v>
      </c>
      <c r="F1767">
        <v>6</v>
      </c>
    </row>
    <row r="1768" spans="1:6" x14ac:dyDescent="0.15">
      <c r="E1768" t="s">
        <v>1613</v>
      </c>
      <c r="F1768">
        <v>7</v>
      </c>
    </row>
    <row r="1769" spans="1:6" x14ac:dyDescent="0.15">
      <c r="E1769" t="s">
        <v>972</v>
      </c>
      <c r="F1769">
        <v>9999</v>
      </c>
    </row>
    <row r="1770" spans="1:6" x14ac:dyDescent="0.15">
      <c r="E1770" t="s">
        <v>973</v>
      </c>
      <c r="F1770" t="s">
        <v>974</v>
      </c>
    </row>
    <row r="1771" spans="1:6" x14ac:dyDescent="0.15">
      <c r="E1771" t="s">
        <v>975</v>
      </c>
      <c r="F1771" t="s">
        <v>124</v>
      </c>
    </row>
    <row r="1772" spans="1:6" x14ac:dyDescent="0.15">
      <c r="A1772" t="s">
        <v>1667</v>
      </c>
      <c r="B1772" t="s">
        <v>1668</v>
      </c>
      <c r="D1772" t="s">
        <v>1669</v>
      </c>
    </row>
    <row r="1773" spans="1:6" x14ac:dyDescent="0.15">
      <c r="B1773" t="s">
        <v>1670</v>
      </c>
      <c r="D1773" t="s">
        <v>1671</v>
      </c>
    </row>
    <row r="1774" spans="1:6" x14ac:dyDescent="0.15">
      <c r="B1774" t="s">
        <v>1672</v>
      </c>
      <c r="D1774" t="s">
        <v>1673</v>
      </c>
    </row>
    <row r="1775" spans="1:6" x14ac:dyDescent="0.15">
      <c r="B1775" t="s">
        <v>1674</v>
      </c>
      <c r="D1775" t="s">
        <v>1675</v>
      </c>
    </row>
    <row r="1776" spans="1:6" x14ac:dyDescent="0.15">
      <c r="B1776" t="s">
        <v>1676</v>
      </c>
      <c r="D1776" t="s">
        <v>1677</v>
      </c>
    </row>
    <row r="1777" spans="1:6" x14ac:dyDescent="0.15">
      <c r="B1777" t="s">
        <v>1678</v>
      </c>
      <c r="D1777" t="s">
        <v>1679</v>
      </c>
    </row>
    <row r="1778" spans="1:6" x14ac:dyDescent="0.15">
      <c r="B1778" t="s">
        <v>1680</v>
      </c>
      <c r="D1778" t="s">
        <v>1681</v>
      </c>
      <c r="E1778" t="s">
        <v>1001</v>
      </c>
      <c r="F1778">
        <v>0</v>
      </c>
    </row>
    <row r="1779" spans="1:6" x14ac:dyDescent="0.15">
      <c r="E1779" t="s">
        <v>1002</v>
      </c>
      <c r="F1779">
        <v>1</v>
      </c>
    </row>
    <row r="1780" spans="1:6" x14ac:dyDescent="0.15">
      <c r="E1780" t="s">
        <v>973</v>
      </c>
      <c r="F1780" t="s">
        <v>974</v>
      </c>
    </row>
    <row r="1781" spans="1:6" x14ac:dyDescent="0.15">
      <c r="E1781" t="s">
        <v>975</v>
      </c>
      <c r="F1781" t="s">
        <v>124</v>
      </c>
    </row>
    <row r="1782" spans="1:6" x14ac:dyDescent="0.15">
      <c r="A1782" t="s">
        <v>1682</v>
      </c>
      <c r="B1782" t="s">
        <v>1683</v>
      </c>
      <c r="D1782" t="s">
        <v>1684</v>
      </c>
      <c r="E1782" t="s">
        <v>1685</v>
      </c>
      <c r="F1782">
        <v>1</v>
      </c>
    </row>
    <row r="1783" spans="1:6" x14ac:dyDescent="0.15">
      <c r="E1783" t="s">
        <v>1686</v>
      </c>
      <c r="F1783">
        <v>2</v>
      </c>
    </row>
    <row r="1784" spans="1:6" x14ac:dyDescent="0.15">
      <c r="E1784" t="s">
        <v>1687</v>
      </c>
      <c r="F1784">
        <v>3</v>
      </c>
    </row>
    <row r="1785" spans="1:6" x14ac:dyDescent="0.15">
      <c r="E1785" t="s">
        <v>1688</v>
      </c>
      <c r="F1785">
        <v>4</v>
      </c>
    </row>
    <row r="1786" spans="1:6" x14ac:dyDescent="0.15">
      <c r="E1786" t="s">
        <v>1689</v>
      </c>
      <c r="F1786">
        <v>5</v>
      </c>
    </row>
    <row r="1787" spans="1:6" x14ac:dyDescent="0.15">
      <c r="E1787" t="s">
        <v>1690</v>
      </c>
      <c r="F1787">
        <v>6</v>
      </c>
    </row>
    <row r="1788" spans="1:6" x14ac:dyDescent="0.15">
      <c r="E1788" t="s">
        <v>1691</v>
      </c>
      <c r="F1788">
        <v>7</v>
      </c>
    </row>
    <row r="1789" spans="1:6" x14ac:dyDescent="0.15">
      <c r="E1789" t="s">
        <v>972</v>
      </c>
      <c r="F1789">
        <v>9999</v>
      </c>
    </row>
    <row r="1790" spans="1:6" x14ac:dyDescent="0.15">
      <c r="E1790" t="s">
        <v>973</v>
      </c>
      <c r="F1790" t="s">
        <v>974</v>
      </c>
    </row>
    <row r="1791" spans="1:6" x14ac:dyDescent="0.15">
      <c r="E1791" t="s">
        <v>975</v>
      </c>
      <c r="F1791" t="s">
        <v>124</v>
      </c>
    </row>
    <row r="1792" spans="1:6" x14ac:dyDescent="0.15">
      <c r="B1792" t="s">
        <v>1692</v>
      </c>
      <c r="D1792" t="s">
        <v>1693</v>
      </c>
      <c r="E1792" t="s">
        <v>1694</v>
      </c>
      <c r="F1792">
        <v>1</v>
      </c>
    </row>
    <row r="1793" spans="5:6" x14ac:dyDescent="0.15">
      <c r="E1793" t="s">
        <v>1695</v>
      </c>
      <c r="F1793">
        <v>2</v>
      </c>
    </row>
    <row r="1794" spans="5:6" x14ac:dyDescent="0.15">
      <c r="E1794" t="s">
        <v>1696</v>
      </c>
      <c r="F1794">
        <v>3</v>
      </c>
    </row>
    <row r="1795" spans="5:6" x14ac:dyDescent="0.15">
      <c r="E1795" t="s">
        <v>1697</v>
      </c>
      <c r="F1795">
        <v>4</v>
      </c>
    </row>
    <row r="1796" spans="5:6" x14ac:dyDescent="0.15">
      <c r="E1796" t="s">
        <v>1698</v>
      </c>
      <c r="F1796">
        <v>5</v>
      </c>
    </row>
    <row r="1797" spans="5:6" x14ac:dyDescent="0.15">
      <c r="E1797" t="s">
        <v>1699</v>
      </c>
      <c r="F1797">
        <v>6</v>
      </c>
    </row>
    <row r="1798" spans="5:6" x14ac:dyDescent="0.15">
      <c r="E1798" t="s">
        <v>1700</v>
      </c>
      <c r="F1798">
        <v>7</v>
      </c>
    </row>
    <row r="1799" spans="5:6" x14ac:dyDescent="0.15">
      <c r="E1799" t="s">
        <v>1701</v>
      </c>
      <c r="F1799">
        <v>8</v>
      </c>
    </row>
    <row r="1800" spans="5:6" x14ac:dyDescent="0.15">
      <c r="E1800" t="s">
        <v>1702</v>
      </c>
      <c r="F1800">
        <v>9</v>
      </c>
    </row>
    <row r="1801" spans="5:6" x14ac:dyDescent="0.15">
      <c r="E1801" t="s">
        <v>1703</v>
      </c>
      <c r="F1801">
        <v>10</v>
      </c>
    </row>
    <row r="1802" spans="5:6" x14ac:dyDescent="0.15">
      <c r="E1802" t="s">
        <v>1704</v>
      </c>
      <c r="F1802">
        <v>11</v>
      </c>
    </row>
    <row r="1803" spans="5:6" x14ac:dyDescent="0.15">
      <c r="E1803" t="s">
        <v>1705</v>
      </c>
      <c r="F1803">
        <v>12</v>
      </c>
    </row>
    <row r="1804" spans="5:6" x14ac:dyDescent="0.15">
      <c r="E1804" t="s">
        <v>1706</v>
      </c>
      <c r="F1804">
        <v>13</v>
      </c>
    </row>
    <row r="1805" spans="5:6" x14ac:dyDescent="0.15">
      <c r="E1805" t="s">
        <v>1707</v>
      </c>
      <c r="F1805">
        <v>14</v>
      </c>
    </row>
    <row r="1806" spans="5:6" x14ac:dyDescent="0.15">
      <c r="E1806" t="s">
        <v>1708</v>
      </c>
      <c r="F1806">
        <v>15</v>
      </c>
    </row>
    <row r="1807" spans="5:6" x14ac:dyDescent="0.15">
      <c r="E1807" t="s">
        <v>1709</v>
      </c>
      <c r="F1807">
        <v>16</v>
      </c>
    </row>
    <row r="1808" spans="5:6" x14ac:dyDescent="0.15">
      <c r="E1808" t="s">
        <v>1710</v>
      </c>
      <c r="F1808">
        <v>97</v>
      </c>
    </row>
    <row r="1809" spans="2:6" x14ac:dyDescent="0.15">
      <c r="E1809" t="s">
        <v>1711</v>
      </c>
      <c r="F1809">
        <v>88</v>
      </c>
    </row>
    <row r="1810" spans="2:6" x14ac:dyDescent="0.15">
      <c r="E1810" t="s">
        <v>1712</v>
      </c>
      <c r="F1810">
        <v>99</v>
      </c>
    </row>
    <row r="1811" spans="2:6" x14ac:dyDescent="0.15">
      <c r="E1811" t="s">
        <v>972</v>
      </c>
      <c r="F1811">
        <v>9999</v>
      </c>
    </row>
    <row r="1812" spans="2:6" x14ac:dyDescent="0.15">
      <c r="E1812" t="s">
        <v>973</v>
      </c>
      <c r="F1812" t="s">
        <v>974</v>
      </c>
    </row>
    <row r="1813" spans="2:6" x14ac:dyDescent="0.15">
      <c r="E1813" t="s">
        <v>975</v>
      </c>
      <c r="F1813" t="s">
        <v>124</v>
      </c>
    </row>
    <row r="1814" spans="2:6" x14ac:dyDescent="0.15">
      <c r="B1814" t="s">
        <v>1713</v>
      </c>
      <c r="D1814" t="s">
        <v>1714</v>
      </c>
      <c r="E1814" t="s">
        <v>1694</v>
      </c>
      <c r="F1814">
        <v>1</v>
      </c>
    </row>
    <row r="1815" spans="2:6" x14ac:dyDescent="0.15">
      <c r="E1815" t="s">
        <v>1695</v>
      </c>
      <c r="F1815">
        <v>2</v>
      </c>
    </row>
    <row r="1816" spans="2:6" x14ac:dyDescent="0.15">
      <c r="E1816" t="s">
        <v>1696</v>
      </c>
      <c r="F1816">
        <v>3</v>
      </c>
    </row>
    <row r="1817" spans="2:6" x14ac:dyDescent="0.15">
      <c r="E1817" t="s">
        <v>1697</v>
      </c>
      <c r="F1817">
        <v>4</v>
      </c>
    </row>
    <row r="1818" spans="2:6" x14ac:dyDescent="0.15">
      <c r="E1818" t="s">
        <v>1698</v>
      </c>
      <c r="F1818">
        <v>5</v>
      </c>
    </row>
    <row r="1819" spans="2:6" x14ac:dyDescent="0.15">
      <c r="E1819" t="s">
        <v>1699</v>
      </c>
      <c r="F1819">
        <v>6</v>
      </c>
    </row>
    <row r="1820" spans="2:6" x14ac:dyDescent="0.15">
      <c r="E1820" t="s">
        <v>1700</v>
      </c>
      <c r="F1820">
        <v>7</v>
      </c>
    </row>
    <row r="1821" spans="2:6" x14ac:dyDescent="0.15">
      <c r="E1821" t="s">
        <v>1701</v>
      </c>
      <c r="F1821">
        <v>8</v>
      </c>
    </row>
    <row r="1822" spans="2:6" x14ac:dyDescent="0.15">
      <c r="E1822" t="s">
        <v>1702</v>
      </c>
      <c r="F1822">
        <v>9</v>
      </c>
    </row>
    <row r="1823" spans="2:6" x14ac:dyDescent="0.15">
      <c r="E1823" t="s">
        <v>1703</v>
      </c>
      <c r="F1823">
        <v>10</v>
      </c>
    </row>
    <row r="1824" spans="2:6" x14ac:dyDescent="0.15">
      <c r="E1824" t="s">
        <v>1704</v>
      </c>
      <c r="F1824">
        <v>11</v>
      </c>
    </row>
    <row r="1825" spans="2:6" x14ac:dyDescent="0.15">
      <c r="E1825" t="s">
        <v>1705</v>
      </c>
      <c r="F1825">
        <v>12</v>
      </c>
    </row>
    <row r="1826" spans="2:6" x14ac:dyDescent="0.15">
      <c r="E1826" t="s">
        <v>1706</v>
      </c>
      <c r="F1826">
        <v>13</v>
      </c>
    </row>
    <row r="1827" spans="2:6" x14ac:dyDescent="0.15">
      <c r="E1827" t="s">
        <v>1707</v>
      </c>
      <c r="F1827">
        <v>14</v>
      </c>
    </row>
    <row r="1828" spans="2:6" x14ac:dyDescent="0.15">
      <c r="E1828" t="s">
        <v>1708</v>
      </c>
      <c r="F1828">
        <v>15</v>
      </c>
    </row>
    <row r="1829" spans="2:6" x14ac:dyDescent="0.15">
      <c r="E1829" t="s">
        <v>1709</v>
      </c>
      <c r="F1829">
        <v>16</v>
      </c>
    </row>
    <row r="1830" spans="2:6" x14ac:dyDescent="0.15">
      <c r="E1830" t="s">
        <v>1710</v>
      </c>
      <c r="F1830">
        <v>97</v>
      </c>
    </row>
    <row r="1831" spans="2:6" x14ac:dyDescent="0.15">
      <c r="E1831" t="s">
        <v>1711</v>
      </c>
      <c r="F1831">
        <v>88</v>
      </c>
    </row>
    <row r="1832" spans="2:6" x14ac:dyDescent="0.15">
      <c r="E1832" t="s">
        <v>1712</v>
      </c>
      <c r="F1832">
        <v>99</v>
      </c>
    </row>
    <row r="1833" spans="2:6" x14ac:dyDescent="0.15">
      <c r="E1833" t="s">
        <v>972</v>
      </c>
      <c r="F1833">
        <v>9999</v>
      </c>
    </row>
    <row r="1834" spans="2:6" x14ac:dyDescent="0.15">
      <c r="E1834" t="s">
        <v>973</v>
      </c>
      <c r="F1834" t="s">
        <v>974</v>
      </c>
    </row>
    <row r="1835" spans="2:6" x14ac:dyDescent="0.15">
      <c r="E1835" t="s">
        <v>975</v>
      </c>
      <c r="F1835" t="s">
        <v>124</v>
      </c>
    </row>
    <row r="1836" spans="2:6" x14ac:dyDescent="0.15">
      <c r="B1836" t="s">
        <v>1715</v>
      </c>
      <c r="D1836" t="s">
        <v>1716</v>
      </c>
      <c r="E1836" t="s">
        <v>1685</v>
      </c>
      <c r="F1836">
        <v>1</v>
      </c>
    </row>
    <row r="1837" spans="2:6" x14ac:dyDescent="0.15">
      <c r="E1837" t="s">
        <v>1686</v>
      </c>
      <c r="F1837">
        <v>2</v>
      </c>
    </row>
    <row r="1838" spans="2:6" x14ac:dyDescent="0.15">
      <c r="E1838" t="s">
        <v>1687</v>
      </c>
      <c r="F1838">
        <v>3</v>
      </c>
    </row>
    <row r="1839" spans="2:6" x14ac:dyDescent="0.15">
      <c r="E1839" t="s">
        <v>1688</v>
      </c>
      <c r="F1839">
        <v>4</v>
      </c>
    </row>
    <row r="1840" spans="2:6" x14ac:dyDescent="0.15">
      <c r="E1840" t="s">
        <v>1689</v>
      </c>
      <c r="F1840">
        <v>5</v>
      </c>
    </row>
    <row r="1841" spans="2:6" x14ac:dyDescent="0.15">
      <c r="E1841" t="s">
        <v>1690</v>
      </c>
      <c r="F1841">
        <v>6</v>
      </c>
    </row>
    <row r="1842" spans="2:6" x14ac:dyDescent="0.15">
      <c r="E1842" t="s">
        <v>1691</v>
      </c>
      <c r="F1842">
        <v>7</v>
      </c>
    </row>
    <row r="1843" spans="2:6" x14ac:dyDescent="0.15">
      <c r="E1843" t="s">
        <v>972</v>
      </c>
      <c r="F1843">
        <v>9999</v>
      </c>
    </row>
    <row r="1844" spans="2:6" x14ac:dyDescent="0.15">
      <c r="E1844" t="s">
        <v>973</v>
      </c>
      <c r="F1844" t="s">
        <v>974</v>
      </c>
    </row>
    <row r="1845" spans="2:6" x14ac:dyDescent="0.15">
      <c r="E1845" t="s">
        <v>975</v>
      </c>
      <c r="F1845" t="s">
        <v>124</v>
      </c>
    </row>
    <row r="1846" spans="2:6" x14ac:dyDescent="0.15">
      <c r="B1846" t="s">
        <v>1717</v>
      </c>
      <c r="D1846" t="s">
        <v>1718</v>
      </c>
      <c r="E1846" t="s">
        <v>1685</v>
      </c>
      <c r="F1846">
        <v>1</v>
      </c>
    </row>
    <row r="1847" spans="2:6" x14ac:dyDescent="0.15">
      <c r="E1847" t="s">
        <v>1686</v>
      </c>
      <c r="F1847">
        <v>2</v>
      </c>
    </row>
    <row r="1848" spans="2:6" x14ac:dyDescent="0.15">
      <c r="E1848" t="s">
        <v>1687</v>
      </c>
      <c r="F1848">
        <v>3</v>
      </c>
    </row>
    <row r="1849" spans="2:6" x14ac:dyDescent="0.15">
      <c r="E1849" t="s">
        <v>1688</v>
      </c>
      <c r="F1849">
        <v>4</v>
      </c>
    </row>
    <row r="1850" spans="2:6" x14ac:dyDescent="0.15">
      <c r="E1850" t="s">
        <v>1689</v>
      </c>
      <c r="F1850">
        <v>5</v>
      </c>
    </row>
    <row r="1851" spans="2:6" x14ac:dyDescent="0.15">
      <c r="E1851" t="s">
        <v>1690</v>
      </c>
      <c r="F1851">
        <v>6</v>
      </c>
    </row>
    <row r="1852" spans="2:6" x14ac:dyDescent="0.15">
      <c r="E1852" t="s">
        <v>1691</v>
      </c>
      <c r="F1852">
        <v>7</v>
      </c>
    </row>
    <row r="1853" spans="2:6" x14ac:dyDescent="0.15">
      <c r="E1853" t="s">
        <v>972</v>
      </c>
      <c r="F1853">
        <v>9999</v>
      </c>
    </row>
    <row r="1854" spans="2:6" x14ac:dyDescent="0.15">
      <c r="E1854" t="s">
        <v>973</v>
      </c>
      <c r="F1854" t="s">
        <v>974</v>
      </c>
    </row>
    <row r="1855" spans="2:6" x14ac:dyDescent="0.15">
      <c r="E1855" t="s">
        <v>975</v>
      </c>
      <c r="F1855" t="s">
        <v>124</v>
      </c>
    </row>
    <row r="1856" spans="2:6" x14ac:dyDescent="0.15">
      <c r="B1856" t="s">
        <v>1719</v>
      </c>
      <c r="D1856" t="s">
        <v>1720</v>
      </c>
      <c r="E1856" t="s">
        <v>1685</v>
      </c>
      <c r="F1856">
        <v>1</v>
      </c>
    </row>
    <row r="1857" spans="2:6" x14ac:dyDescent="0.15">
      <c r="E1857" t="s">
        <v>1686</v>
      </c>
      <c r="F1857">
        <v>2</v>
      </c>
    </row>
    <row r="1858" spans="2:6" x14ac:dyDescent="0.15">
      <c r="E1858" t="s">
        <v>1687</v>
      </c>
      <c r="F1858">
        <v>3</v>
      </c>
    </row>
    <row r="1859" spans="2:6" x14ac:dyDescent="0.15">
      <c r="E1859" t="s">
        <v>1688</v>
      </c>
      <c r="F1859">
        <v>4</v>
      </c>
    </row>
    <row r="1860" spans="2:6" x14ac:dyDescent="0.15">
      <c r="E1860" t="s">
        <v>1689</v>
      </c>
      <c r="F1860">
        <v>5</v>
      </c>
    </row>
    <row r="1861" spans="2:6" x14ac:dyDescent="0.15">
      <c r="E1861" t="s">
        <v>1690</v>
      </c>
      <c r="F1861">
        <v>6</v>
      </c>
    </row>
    <row r="1862" spans="2:6" x14ac:dyDescent="0.15">
      <c r="E1862" t="s">
        <v>1691</v>
      </c>
      <c r="F1862">
        <v>7</v>
      </c>
    </row>
    <row r="1863" spans="2:6" x14ac:dyDescent="0.15">
      <c r="E1863" t="s">
        <v>972</v>
      </c>
      <c r="F1863">
        <v>9999</v>
      </c>
    </row>
    <row r="1864" spans="2:6" x14ac:dyDescent="0.15">
      <c r="E1864" t="s">
        <v>973</v>
      </c>
      <c r="F1864" t="s">
        <v>974</v>
      </c>
    </row>
    <row r="1865" spans="2:6" x14ac:dyDescent="0.15">
      <c r="E1865" t="s">
        <v>975</v>
      </c>
      <c r="F1865" t="s">
        <v>124</v>
      </c>
    </row>
    <row r="1866" spans="2:6" x14ac:dyDescent="0.15">
      <c r="B1866" t="s">
        <v>1721</v>
      </c>
      <c r="D1866" t="s">
        <v>1722</v>
      </c>
      <c r="E1866" t="s">
        <v>1723</v>
      </c>
      <c r="F1866">
        <v>0</v>
      </c>
    </row>
    <row r="1867" spans="2:6" x14ac:dyDescent="0.15">
      <c r="E1867" t="s">
        <v>1724</v>
      </c>
      <c r="F1867">
        <v>1</v>
      </c>
    </row>
    <row r="1868" spans="2:6" x14ac:dyDescent="0.15">
      <c r="E1868" t="s">
        <v>1725</v>
      </c>
      <c r="F1868">
        <v>9</v>
      </c>
    </row>
    <row r="1869" spans="2:6" x14ac:dyDescent="0.15">
      <c r="E1869" t="s">
        <v>972</v>
      </c>
      <c r="F1869">
        <v>9999</v>
      </c>
    </row>
    <row r="1870" spans="2:6" x14ac:dyDescent="0.15">
      <c r="E1870" t="s">
        <v>973</v>
      </c>
      <c r="F1870" t="s">
        <v>974</v>
      </c>
    </row>
    <row r="1871" spans="2:6" x14ac:dyDescent="0.15">
      <c r="E1871" t="s">
        <v>975</v>
      </c>
      <c r="F1871" t="s">
        <v>124</v>
      </c>
    </row>
    <row r="1872" spans="2:6" x14ac:dyDescent="0.15">
      <c r="B1872" t="s">
        <v>1726</v>
      </c>
      <c r="D1872" t="s">
        <v>1727</v>
      </c>
      <c r="E1872" t="s">
        <v>1723</v>
      </c>
      <c r="F1872">
        <v>0</v>
      </c>
    </row>
    <row r="1873" spans="2:6" x14ac:dyDescent="0.15">
      <c r="E1873" t="s">
        <v>1724</v>
      </c>
      <c r="F1873">
        <v>1</v>
      </c>
    </row>
    <row r="1874" spans="2:6" x14ac:dyDescent="0.15">
      <c r="E1874" t="s">
        <v>1725</v>
      </c>
      <c r="F1874">
        <v>9</v>
      </c>
    </row>
    <row r="1875" spans="2:6" x14ac:dyDescent="0.15">
      <c r="E1875" t="s">
        <v>972</v>
      </c>
      <c r="F1875">
        <v>9999</v>
      </c>
    </row>
    <row r="1876" spans="2:6" x14ac:dyDescent="0.15">
      <c r="E1876" t="s">
        <v>973</v>
      </c>
      <c r="F1876" t="s">
        <v>974</v>
      </c>
    </row>
    <row r="1877" spans="2:6" x14ac:dyDescent="0.15">
      <c r="E1877" t="s">
        <v>975</v>
      </c>
      <c r="F1877" t="s">
        <v>124</v>
      </c>
    </row>
    <row r="1878" spans="2:6" x14ac:dyDescent="0.15">
      <c r="B1878" t="s">
        <v>1728</v>
      </c>
      <c r="D1878" t="s">
        <v>1729</v>
      </c>
      <c r="E1878" t="s">
        <v>1723</v>
      </c>
      <c r="F1878">
        <v>0</v>
      </c>
    </row>
    <row r="1879" spans="2:6" x14ac:dyDescent="0.15">
      <c r="E1879" t="s">
        <v>1724</v>
      </c>
      <c r="F1879">
        <v>1</v>
      </c>
    </row>
    <row r="1880" spans="2:6" x14ac:dyDescent="0.15">
      <c r="E1880" t="s">
        <v>1725</v>
      </c>
      <c r="F1880">
        <v>9</v>
      </c>
    </row>
    <row r="1881" spans="2:6" x14ac:dyDescent="0.15">
      <c r="E1881" t="s">
        <v>972</v>
      </c>
      <c r="F1881">
        <v>9999</v>
      </c>
    </row>
    <row r="1882" spans="2:6" x14ac:dyDescent="0.15">
      <c r="E1882" t="s">
        <v>973</v>
      </c>
      <c r="F1882" t="s">
        <v>974</v>
      </c>
    </row>
    <row r="1883" spans="2:6" x14ac:dyDescent="0.15">
      <c r="E1883" t="s">
        <v>975</v>
      </c>
      <c r="F1883" t="s">
        <v>124</v>
      </c>
    </row>
    <row r="1884" spans="2:6" x14ac:dyDescent="0.15">
      <c r="B1884" t="s">
        <v>1730</v>
      </c>
      <c r="D1884" t="s">
        <v>1731</v>
      </c>
      <c r="E1884" t="s">
        <v>1723</v>
      </c>
      <c r="F1884">
        <v>0</v>
      </c>
    </row>
    <row r="1885" spans="2:6" x14ac:dyDescent="0.15">
      <c r="E1885" t="s">
        <v>1724</v>
      </c>
      <c r="F1885">
        <v>1</v>
      </c>
    </row>
    <row r="1886" spans="2:6" x14ac:dyDescent="0.15">
      <c r="E1886" t="s">
        <v>1725</v>
      </c>
      <c r="F1886">
        <v>9</v>
      </c>
    </row>
    <row r="1887" spans="2:6" x14ac:dyDescent="0.15">
      <c r="E1887" t="s">
        <v>972</v>
      </c>
      <c r="F1887">
        <v>9999</v>
      </c>
    </row>
    <row r="1888" spans="2:6" x14ac:dyDescent="0.15">
      <c r="E1888" t="s">
        <v>973</v>
      </c>
      <c r="F1888" t="s">
        <v>974</v>
      </c>
    </row>
    <row r="1889" spans="2:6" x14ac:dyDescent="0.15">
      <c r="E1889" t="s">
        <v>975</v>
      </c>
      <c r="F1889" t="s">
        <v>124</v>
      </c>
    </row>
    <row r="1890" spans="2:6" x14ac:dyDescent="0.15">
      <c r="B1890" t="s">
        <v>1732</v>
      </c>
      <c r="D1890" t="s">
        <v>1733</v>
      </c>
      <c r="E1890" t="s">
        <v>1723</v>
      </c>
      <c r="F1890">
        <v>0</v>
      </c>
    </row>
    <row r="1891" spans="2:6" x14ac:dyDescent="0.15">
      <c r="E1891" t="s">
        <v>1724</v>
      </c>
      <c r="F1891">
        <v>1</v>
      </c>
    </row>
    <row r="1892" spans="2:6" x14ac:dyDescent="0.15">
      <c r="E1892" t="s">
        <v>1725</v>
      </c>
      <c r="F1892">
        <v>9</v>
      </c>
    </row>
    <row r="1893" spans="2:6" x14ac:dyDescent="0.15">
      <c r="E1893" t="s">
        <v>972</v>
      </c>
      <c r="F1893">
        <v>9999</v>
      </c>
    </row>
    <row r="1894" spans="2:6" x14ac:dyDescent="0.15">
      <c r="E1894" t="s">
        <v>973</v>
      </c>
      <c r="F1894" t="s">
        <v>974</v>
      </c>
    </row>
    <row r="1895" spans="2:6" x14ac:dyDescent="0.15">
      <c r="E1895" t="s">
        <v>975</v>
      </c>
      <c r="F1895" t="s">
        <v>124</v>
      </c>
    </row>
    <row r="1896" spans="2:6" x14ac:dyDescent="0.15">
      <c r="B1896" t="s">
        <v>1734</v>
      </c>
      <c r="D1896" t="s">
        <v>1735</v>
      </c>
      <c r="E1896" t="s">
        <v>1723</v>
      </c>
      <c r="F1896">
        <v>0</v>
      </c>
    </row>
    <row r="1897" spans="2:6" x14ac:dyDescent="0.15">
      <c r="E1897" t="s">
        <v>1724</v>
      </c>
      <c r="F1897">
        <v>1</v>
      </c>
    </row>
    <row r="1898" spans="2:6" x14ac:dyDescent="0.15">
      <c r="E1898" t="s">
        <v>1725</v>
      </c>
      <c r="F1898">
        <v>9</v>
      </c>
    </row>
    <row r="1899" spans="2:6" x14ac:dyDescent="0.15">
      <c r="E1899" t="s">
        <v>972</v>
      </c>
      <c r="F1899">
        <v>9999</v>
      </c>
    </row>
    <row r="1900" spans="2:6" x14ac:dyDescent="0.15">
      <c r="E1900" t="s">
        <v>973</v>
      </c>
      <c r="F1900" t="s">
        <v>974</v>
      </c>
    </row>
    <row r="1901" spans="2:6" x14ac:dyDescent="0.15">
      <c r="E1901" t="s">
        <v>975</v>
      </c>
      <c r="F1901" t="s">
        <v>124</v>
      </c>
    </row>
    <row r="1902" spans="2:6" x14ac:dyDescent="0.15">
      <c r="B1902" t="s">
        <v>1736</v>
      </c>
      <c r="D1902" t="s">
        <v>1737</v>
      </c>
      <c r="E1902" t="s">
        <v>1723</v>
      </c>
      <c r="F1902">
        <v>0</v>
      </c>
    </row>
    <row r="1903" spans="2:6" x14ac:dyDescent="0.15">
      <c r="E1903" t="s">
        <v>1724</v>
      </c>
      <c r="F1903">
        <v>1</v>
      </c>
    </row>
    <row r="1904" spans="2:6" x14ac:dyDescent="0.15">
      <c r="E1904" t="s">
        <v>1725</v>
      </c>
      <c r="F1904">
        <v>9</v>
      </c>
    </row>
    <row r="1905" spans="2:6" x14ac:dyDescent="0.15">
      <c r="E1905" t="s">
        <v>972</v>
      </c>
      <c r="F1905">
        <v>9999</v>
      </c>
    </row>
    <row r="1906" spans="2:6" x14ac:dyDescent="0.15">
      <c r="E1906" t="s">
        <v>973</v>
      </c>
      <c r="F1906" t="s">
        <v>974</v>
      </c>
    </row>
    <row r="1907" spans="2:6" x14ac:dyDescent="0.15">
      <c r="E1907" t="s">
        <v>975</v>
      </c>
      <c r="F1907" t="s">
        <v>124</v>
      </c>
    </row>
    <row r="1908" spans="2:6" x14ac:dyDescent="0.15">
      <c r="B1908" t="s">
        <v>1738</v>
      </c>
      <c r="D1908" t="s">
        <v>1739</v>
      </c>
      <c r="E1908" t="s">
        <v>1723</v>
      </c>
      <c r="F1908">
        <v>0</v>
      </c>
    </row>
    <row r="1909" spans="2:6" x14ac:dyDescent="0.15">
      <c r="E1909" t="s">
        <v>1724</v>
      </c>
      <c r="F1909">
        <v>1</v>
      </c>
    </row>
    <row r="1910" spans="2:6" x14ac:dyDescent="0.15">
      <c r="E1910" t="s">
        <v>1725</v>
      </c>
      <c r="F1910">
        <v>9</v>
      </c>
    </row>
    <row r="1911" spans="2:6" x14ac:dyDescent="0.15">
      <c r="E1911" t="s">
        <v>972</v>
      </c>
      <c r="F1911">
        <v>9999</v>
      </c>
    </row>
    <row r="1912" spans="2:6" x14ac:dyDescent="0.15">
      <c r="E1912" t="s">
        <v>973</v>
      </c>
      <c r="F1912" t="s">
        <v>974</v>
      </c>
    </row>
    <row r="1913" spans="2:6" x14ac:dyDescent="0.15">
      <c r="E1913" t="s">
        <v>975</v>
      </c>
      <c r="F1913" t="s">
        <v>124</v>
      </c>
    </row>
    <row r="1914" spans="2:6" x14ac:dyDescent="0.15">
      <c r="B1914" t="s">
        <v>1740</v>
      </c>
      <c r="D1914" t="s">
        <v>1741</v>
      </c>
      <c r="E1914" t="s">
        <v>1742</v>
      </c>
      <c r="F1914">
        <v>1</v>
      </c>
    </row>
    <row r="1915" spans="2:6" x14ac:dyDescent="0.15">
      <c r="E1915" t="s">
        <v>1743</v>
      </c>
      <c r="F1915">
        <v>2</v>
      </c>
    </row>
    <row r="1916" spans="2:6" x14ac:dyDescent="0.15">
      <c r="E1916" t="s">
        <v>1744</v>
      </c>
      <c r="F1916">
        <v>3</v>
      </c>
    </row>
    <row r="1917" spans="2:6" x14ac:dyDescent="0.15">
      <c r="E1917" t="s">
        <v>1745</v>
      </c>
      <c r="F1917">
        <v>4</v>
      </c>
    </row>
    <row r="1918" spans="2:6" x14ac:dyDescent="0.15">
      <c r="E1918" t="s">
        <v>1746</v>
      </c>
      <c r="F1918">
        <v>9</v>
      </c>
    </row>
    <row r="1919" spans="2:6" x14ac:dyDescent="0.15">
      <c r="E1919" t="s">
        <v>972</v>
      </c>
      <c r="F1919">
        <v>9999</v>
      </c>
    </row>
    <row r="1920" spans="2:6" x14ac:dyDescent="0.15">
      <c r="E1920" t="s">
        <v>973</v>
      </c>
      <c r="F1920" t="s">
        <v>974</v>
      </c>
    </row>
    <row r="1921" spans="2:6" x14ac:dyDescent="0.15">
      <c r="E1921" t="s">
        <v>975</v>
      </c>
      <c r="F1921" t="s">
        <v>124</v>
      </c>
    </row>
    <row r="1922" spans="2:6" x14ac:dyDescent="0.15">
      <c r="B1922" t="s">
        <v>1747</v>
      </c>
      <c r="D1922" t="s">
        <v>1748</v>
      </c>
      <c r="E1922" t="s">
        <v>1685</v>
      </c>
      <c r="F1922">
        <v>1</v>
      </c>
    </row>
    <row r="1923" spans="2:6" x14ac:dyDescent="0.15">
      <c r="E1923" t="s">
        <v>1686</v>
      </c>
      <c r="F1923">
        <v>2</v>
      </c>
    </row>
    <row r="1924" spans="2:6" x14ac:dyDescent="0.15">
      <c r="E1924" t="s">
        <v>1687</v>
      </c>
      <c r="F1924">
        <v>3</v>
      </c>
    </row>
    <row r="1925" spans="2:6" x14ac:dyDescent="0.15">
      <c r="E1925" t="s">
        <v>1688</v>
      </c>
      <c r="F1925">
        <v>4</v>
      </c>
    </row>
    <row r="1926" spans="2:6" x14ac:dyDescent="0.15">
      <c r="E1926" t="s">
        <v>1689</v>
      </c>
      <c r="F1926">
        <v>5</v>
      </c>
    </row>
    <row r="1927" spans="2:6" x14ac:dyDescent="0.15">
      <c r="E1927" t="s">
        <v>1690</v>
      </c>
      <c r="F1927">
        <v>6</v>
      </c>
    </row>
    <row r="1928" spans="2:6" x14ac:dyDescent="0.15">
      <c r="E1928" t="s">
        <v>1691</v>
      </c>
      <c r="F1928">
        <v>7</v>
      </c>
    </row>
    <row r="1929" spans="2:6" x14ac:dyDescent="0.15">
      <c r="E1929" t="s">
        <v>972</v>
      </c>
      <c r="F1929">
        <v>9999</v>
      </c>
    </row>
    <row r="1930" spans="2:6" x14ac:dyDescent="0.15">
      <c r="E1930" t="s">
        <v>973</v>
      </c>
      <c r="F1930" t="s">
        <v>974</v>
      </c>
    </row>
    <row r="1931" spans="2:6" x14ac:dyDescent="0.15">
      <c r="E1931" t="s">
        <v>975</v>
      </c>
      <c r="F1931" t="s">
        <v>124</v>
      </c>
    </row>
    <row r="1932" spans="2:6" x14ac:dyDescent="0.15">
      <c r="B1932" t="s">
        <v>1749</v>
      </c>
      <c r="D1932" t="s">
        <v>1750</v>
      </c>
      <c r="E1932" t="s">
        <v>1685</v>
      </c>
      <c r="F1932">
        <v>1</v>
      </c>
    </row>
    <row r="1933" spans="2:6" x14ac:dyDescent="0.15">
      <c r="E1933" t="s">
        <v>1686</v>
      </c>
      <c r="F1933">
        <v>2</v>
      </c>
    </row>
    <row r="1934" spans="2:6" x14ac:dyDescent="0.15">
      <c r="E1934" t="s">
        <v>1687</v>
      </c>
      <c r="F1934">
        <v>3</v>
      </c>
    </row>
    <row r="1935" spans="2:6" x14ac:dyDescent="0.15">
      <c r="E1935" t="s">
        <v>1688</v>
      </c>
      <c r="F1935">
        <v>4</v>
      </c>
    </row>
    <row r="1936" spans="2:6" x14ac:dyDescent="0.15">
      <c r="E1936" t="s">
        <v>1689</v>
      </c>
      <c r="F1936">
        <v>5</v>
      </c>
    </row>
    <row r="1937" spans="2:6" x14ac:dyDescent="0.15">
      <c r="E1937" t="s">
        <v>1690</v>
      </c>
      <c r="F1937">
        <v>6</v>
      </c>
    </row>
    <row r="1938" spans="2:6" x14ac:dyDescent="0.15">
      <c r="E1938" t="s">
        <v>1691</v>
      </c>
      <c r="F1938">
        <v>7</v>
      </c>
    </row>
    <row r="1939" spans="2:6" x14ac:dyDescent="0.15">
      <c r="E1939" t="s">
        <v>972</v>
      </c>
      <c r="F1939">
        <v>9999</v>
      </c>
    </row>
    <row r="1940" spans="2:6" x14ac:dyDescent="0.15">
      <c r="E1940" t="s">
        <v>973</v>
      </c>
      <c r="F1940" t="s">
        <v>974</v>
      </c>
    </row>
    <row r="1941" spans="2:6" x14ac:dyDescent="0.15">
      <c r="E1941" t="s">
        <v>975</v>
      </c>
      <c r="F1941" t="s">
        <v>124</v>
      </c>
    </row>
    <row r="1942" spans="2:6" x14ac:dyDescent="0.15">
      <c r="B1942" t="s">
        <v>1751</v>
      </c>
      <c r="D1942" t="s">
        <v>1752</v>
      </c>
      <c r="E1942" t="s">
        <v>1685</v>
      </c>
      <c r="F1942">
        <v>1</v>
      </c>
    </row>
    <row r="1943" spans="2:6" x14ac:dyDescent="0.15">
      <c r="E1943" t="s">
        <v>1686</v>
      </c>
      <c r="F1943">
        <v>2</v>
      </c>
    </row>
    <row r="1944" spans="2:6" x14ac:dyDescent="0.15">
      <c r="E1944" t="s">
        <v>1687</v>
      </c>
      <c r="F1944">
        <v>3</v>
      </c>
    </row>
    <row r="1945" spans="2:6" x14ac:dyDescent="0.15">
      <c r="E1945" t="s">
        <v>1688</v>
      </c>
      <c r="F1945">
        <v>4</v>
      </c>
    </row>
    <row r="1946" spans="2:6" x14ac:dyDescent="0.15">
      <c r="E1946" t="s">
        <v>1689</v>
      </c>
      <c r="F1946">
        <v>5</v>
      </c>
    </row>
    <row r="1947" spans="2:6" x14ac:dyDescent="0.15">
      <c r="E1947" t="s">
        <v>1690</v>
      </c>
      <c r="F1947">
        <v>6</v>
      </c>
    </row>
    <row r="1948" spans="2:6" x14ac:dyDescent="0.15">
      <c r="E1948" t="s">
        <v>1691</v>
      </c>
      <c r="F1948">
        <v>7</v>
      </c>
    </row>
    <row r="1949" spans="2:6" x14ac:dyDescent="0.15">
      <c r="E1949" t="s">
        <v>972</v>
      </c>
      <c r="F1949">
        <v>9999</v>
      </c>
    </row>
    <row r="1950" spans="2:6" x14ac:dyDescent="0.15">
      <c r="E1950" t="s">
        <v>973</v>
      </c>
      <c r="F1950" t="s">
        <v>974</v>
      </c>
    </row>
    <row r="1951" spans="2:6" x14ac:dyDescent="0.15">
      <c r="E1951" t="s">
        <v>975</v>
      </c>
      <c r="F1951" t="s">
        <v>124</v>
      </c>
    </row>
    <row r="1952" spans="2:6" x14ac:dyDescent="0.15">
      <c r="B1952" t="s">
        <v>1753</v>
      </c>
      <c r="D1952" t="s">
        <v>1754</v>
      </c>
      <c r="E1952" t="s">
        <v>1685</v>
      </c>
      <c r="F1952">
        <v>1</v>
      </c>
    </row>
    <row r="1953" spans="2:6" x14ac:dyDescent="0.15">
      <c r="E1953" t="s">
        <v>1686</v>
      </c>
      <c r="F1953">
        <v>2</v>
      </c>
    </row>
    <row r="1954" spans="2:6" x14ac:dyDescent="0.15">
      <c r="E1954" t="s">
        <v>1687</v>
      </c>
      <c r="F1954">
        <v>3</v>
      </c>
    </row>
    <row r="1955" spans="2:6" x14ac:dyDescent="0.15">
      <c r="E1955" t="s">
        <v>1688</v>
      </c>
      <c r="F1955">
        <v>4</v>
      </c>
    </row>
    <row r="1956" spans="2:6" x14ac:dyDescent="0.15">
      <c r="E1956" t="s">
        <v>1689</v>
      </c>
      <c r="F1956">
        <v>5</v>
      </c>
    </row>
    <row r="1957" spans="2:6" x14ac:dyDescent="0.15">
      <c r="E1957" t="s">
        <v>1690</v>
      </c>
      <c r="F1957">
        <v>6</v>
      </c>
    </row>
    <row r="1958" spans="2:6" x14ac:dyDescent="0.15">
      <c r="E1958" t="s">
        <v>1691</v>
      </c>
      <c r="F1958">
        <v>7</v>
      </c>
    </row>
    <row r="1959" spans="2:6" x14ac:dyDescent="0.15">
      <c r="E1959" t="s">
        <v>972</v>
      </c>
      <c r="F1959">
        <v>9999</v>
      </c>
    </row>
    <row r="1960" spans="2:6" x14ac:dyDescent="0.15">
      <c r="E1960" t="s">
        <v>973</v>
      </c>
      <c r="F1960" t="s">
        <v>974</v>
      </c>
    </row>
    <row r="1961" spans="2:6" x14ac:dyDescent="0.15">
      <c r="E1961" t="s">
        <v>975</v>
      </c>
      <c r="F1961" t="s">
        <v>124</v>
      </c>
    </row>
    <row r="1962" spans="2:6" x14ac:dyDescent="0.15">
      <c r="B1962" t="s">
        <v>1755</v>
      </c>
      <c r="D1962" t="s">
        <v>1756</v>
      </c>
      <c r="E1962" t="s">
        <v>1757</v>
      </c>
      <c r="F1962">
        <v>5</v>
      </c>
    </row>
    <row r="1963" spans="2:6" x14ac:dyDescent="0.15">
      <c r="E1963" t="s">
        <v>1758</v>
      </c>
      <c r="F1963">
        <v>4</v>
      </c>
    </row>
    <row r="1964" spans="2:6" x14ac:dyDescent="0.15">
      <c r="E1964" t="s">
        <v>1759</v>
      </c>
      <c r="F1964">
        <v>3</v>
      </c>
    </row>
    <row r="1965" spans="2:6" x14ac:dyDescent="0.15">
      <c r="E1965" t="s">
        <v>1760</v>
      </c>
      <c r="F1965">
        <v>2</v>
      </c>
    </row>
    <row r="1966" spans="2:6" x14ac:dyDescent="0.15">
      <c r="E1966" t="s">
        <v>1761</v>
      </c>
      <c r="F1966">
        <v>1</v>
      </c>
    </row>
    <row r="1967" spans="2:6" x14ac:dyDescent="0.15">
      <c r="E1967" t="s">
        <v>1762</v>
      </c>
      <c r="F1967">
        <v>0</v>
      </c>
    </row>
    <row r="1968" spans="2:6" x14ac:dyDescent="0.15">
      <c r="E1968" t="s">
        <v>1763</v>
      </c>
      <c r="F1968">
        <v>7</v>
      </c>
    </row>
    <row r="1969" spans="2:6" x14ac:dyDescent="0.15">
      <c r="E1969" t="s">
        <v>1764</v>
      </c>
      <c r="F1969">
        <v>8</v>
      </c>
    </row>
    <row r="1970" spans="2:6" x14ac:dyDescent="0.15">
      <c r="E1970" t="s">
        <v>1765</v>
      </c>
      <c r="F1970">
        <v>9</v>
      </c>
    </row>
    <row r="1971" spans="2:6" x14ac:dyDescent="0.15">
      <c r="E1971" t="s">
        <v>972</v>
      </c>
      <c r="F1971">
        <v>9999</v>
      </c>
    </row>
    <row r="1972" spans="2:6" x14ac:dyDescent="0.15">
      <c r="E1972" t="s">
        <v>973</v>
      </c>
      <c r="F1972" t="s">
        <v>974</v>
      </c>
    </row>
    <row r="1973" spans="2:6" x14ac:dyDescent="0.15">
      <c r="E1973" t="s">
        <v>975</v>
      </c>
      <c r="F1973" t="s">
        <v>124</v>
      </c>
    </row>
    <row r="1974" spans="2:6" x14ac:dyDescent="0.15">
      <c r="B1974" t="s">
        <v>1766</v>
      </c>
      <c r="D1974" t="s">
        <v>1767</v>
      </c>
      <c r="E1974" t="s">
        <v>1757</v>
      </c>
      <c r="F1974">
        <v>5</v>
      </c>
    </row>
    <row r="1975" spans="2:6" x14ac:dyDescent="0.15">
      <c r="E1975" t="s">
        <v>1758</v>
      </c>
      <c r="F1975">
        <v>4</v>
      </c>
    </row>
    <row r="1976" spans="2:6" x14ac:dyDescent="0.15">
      <c r="E1976" t="s">
        <v>1759</v>
      </c>
      <c r="F1976">
        <v>3</v>
      </c>
    </row>
    <row r="1977" spans="2:6" x14ac:dyDescent="0.15">
      <c r="E1977" t="s">
        <v>1760</v>
      </c>
      <c r="F1977">
        <v>2</v>
      </c>
    </row>
    <row r="1978" spans="2:6" x14ac:dyDescent="0.15">
      <c r="E1978" t="s">
        <v>1761</v>
      </c>
      <c r="F1978">
        <v>1</v>
      </c>
    </row>
    <row r="1979" spans="2:6" x14ac:dyDescent="0.15">
      <c r="E1979" t="s">
        <v>1762</v>
      </c>
      <c r="F1979">
        <v>0</v>
      </c>
    </row>
    <row r="1980" spans="2:6" x14ac:dyDescent="0.15">
      <c r="E1980" t="s">
        <v>1763</v>
      </c>
      <c r="F1980">
        <v>7</v>
      </c>
    </row>
    <row r="1981" spans="2:6" x14ac:dyDescent="0.15">
      <c r="E1981" t="s">
        <v>1764</v>
      </c>
      <c r="F1981">
        <v>8</v>
      </c>
    </row>
    <row r="1982" spans="2:6" x14ac:dyDescent="0.15">
      <c r="E1982" t="s">
        <v>1765</v>
      </c>
      <c r="F1982">
        <v>9</v>
      </c>
    </row>
    <row r="1983" spans="2:6" x14ac:dyDescent="0.15">
      <c r="E1983" t="s">
        <v>972</v>
      </c>
      <c r="F1983">
        <v>9999</v>
      </c>
    </row>
    <row r="1984" spans="2:6" x14ac:dyDescent="0.15">
      <c r="E1984" t="s">
        <v>973</v>
      </c>
      <c r="F1984" t="s">
        <v>974</v>
      </c>
    </row>
    <row r="1985" spans="2:6" x14ac:dyDescent="0.15">
      <c r="E1985" t="s">
        <v>975</v>
      </c>
      <c r="F1985" t="s">
        <v>124</v>
      </c>
    </row>
    <row r="1986" spans="2:6" x14ac:dyDescent="0.15">
      <c r="B1986" t="s">
        <v>1768</v>
      </c>
      <c r="D1986" t="s">
        <v>1769</v>
      </c>
      <c r="E1986" t="s">
        <v>1685</v>
      </c>
      <c r="F1986">
        <v>1</v>
      </c>
    </row>
    <row r="1987" spans="2:6" x14ac:dyDescent="0.15">
      <c r="E1987" t="s">
        <v>1686</v>
      </c>
      <c r="F1987">
        <v>2</v>
      </c>
    </row>
    <row r="1988" spans="2:6" x14ac:dyDescent="0.15">
      <c r="E1988" t="s">
        <v>1687</v>
      </c>
      <c r="F1988">
        <v>3</v>
      </c>
    </row>
    <row r="1989" spans="2:6" x14ac:dyDescent="0.15">
      <c r="E1989" t="s">
        <v>1688</v>
      </c>
      <c r="F1989">
        <v>4</v>
      </c>
    </row>
    <row r="1990" spans="2:6" x14ac:dyDescent="0.15">
      <c r="E1990" t="s">
        <v>1689</v>
      </c>
      <c r="F1990">
        <v>5</v>
      </c>
    </row>
    <row r="1991" spans="2:6" x14ac:dyDescent="0.15">
      <c r="E1991" t="s">
        <v>1690</v>
      </c>
      <c r="F1991">
        <v>6</v>
      </c>
    </row>
    <row r="1992" spans="2:6" x14ac:dyDescent="0.15">
      <c r="E1992" t="s">
        <v>1691</v>
      </c>
      <c r="F1992">
        <v>7</v>
      </c>
    </row>
    <row r="1993" spans="2:6" x14ac:dyDescent="0.15">
      <c r="E1993" t="s">
        <v>972</v>
      </c>
      <c r="F1993">
        <v>9999</v>
      </c>
    </row>
    <row r="1994" spans="2:6" x14ac:dyDescent="0.15">
      <c r="E1994" t="s">
        <v>973</v>
      </c>
      <c r="F1994" t="s">
        <v>974</v>
      </c>
    </row>
    <row r="1995" spans="2:6" x14ac:dyDescent="0.15">
      <c r="E1995" t="s">
        <v>975</v>
      </c>
      <c r="F1995" t="s">
        <v>124</v>
      </c>
    </row>
    <row r="1996" spans="2:6" x14ac:dyDescent="0.15">
      <c r="B1996" t="s">
        <v>1770</v>
      </c>
      <c r="D1996" t="s">
        <v>1771</v>
      </c>
      <c r="E1996" t="s">
        <v>1685</v>
      </c>
      <c r="F1996">
        <v>1</v>
      </c>
    </row>
    <row r="1997" spans="2:6" x14ac:dyDescent="0.15">
      <c r="E1997" t="s">
        <v>1686</v>
      </c>
      <c r="F1997">
        <v>2</v>
      </c>
    </row>
    <row r="1998" spans="2:6" x14ac:dyDescent="0.15">
      <c r="E1998" t="s">
        <v>1687</v>
      </c>
      <c r="F1998">
        <v>3</v>
      </c>
    </row>
    <row r="1999" spans="2:6" x14ac:dyDescent="0.15">
      <c r="E1999" t="s">
        <v>1688</v>
      </c>
      <c r="F1999">
        <v>4</v>
      </c>
    </row>
    <row r="2000" spans="2:6" x14ac:dyDescent="0.15">
      <c r="E2000" t="s">
        <v>1689</v>
      </c>
      <c r="F2000">
        <v>5</v>
      </c>
    </row>
    <row r="2001" spans="2:6" x14ac:dyDescent="0.15">
      <c r="E2001" t="s">
        <v>1690</v>
      </c>
      <c r="F2001">
        <v>6</v>
      </c>
    </row>
    <row r="2002" spans="2:6" x14ac:dyDescent="0.15">
      <c r="E2002" t="s">
        <v>1691</v>
      </c>
      <c r="F2002">
        <v>7</v>
      </c>
    </row>
    <row r="2003" spans="2:6" x14ac:dyDescent="0.15">
      <c r="E2003" t="s">
        <v>972</v>
      </c>
      <c r="F2003">
        <v>9999</v>
      </c>
    </row>
    <row r="2004" spans="2:6" x14ac:dyDescent="0.15">
      <c r="E2004" t="s">
        <v>973</v>
      </c>
      <c r="F2004" t="s">
        <v>974</v>
      </c>
    </row>
    <row r="2005" spans="2:6" x14ac:dyDescent="0.15">
      <c r="E2005" t="s">
        <v>975</v>
      </c>
      <c r="F2005" t="s">
        <v>124</v>
      </c>
    </row>
    <row r="2006" spans="2:6" x14ac:dyDescent="0.15">
      <c r="B2006" t="s">
        <v>1772</v>
      </c>
      <c r="D2006" t="s">
        <v>1773</v>
      </c>
      <c r="E2006" t="s">
        <v>1685</v>
      </c>
      <c r="F2006">
        <v>1</v>
      </c>
    </row>
    <row r="2007" spans="2:6" x14ac:dyDescent="0.15">
      <c r="E2007" t="s">
        <v>1686</v>
      </c>
      <c r="F2007">
        <v>2</v>
      </c>
    </row>
    <row r="2008" spans="2:6" x14ac:dyDescent="0.15">
      <c r="E2008" t="s">
        <v>1687</v>
      </c>
      <c r="F2008">
        <v>3</v>
      </c>
    </row>
    <row r="2009" spans="2:6" x14ac:dyDescent="0.15">
      <c r="E2009" t="s">
        <v>1688</v>
      </c>
      <c r="F2009">
        <v>4</v>
      </c>
    </row>
    <row r="2010" spans="2:6" x14ac:dyDescent="0.15">
      <c r="E2010" t="s">
        <v>1689</v>
      </c>
      <c r="F2010">
        <v>5</v>
      </c>
    </row>
    <row r="2011" spans="2:6" x14ac:dyDescent="0.15">
      <c r="E2011" t="s">
        <v>1690</v>
      </c>
      <c r="F2011">
        <v>6</v>
      </c>
    </row>
    <row r="2012" spans="2:6" x14ac:dyDescent="0.15">
      <c r="E2012" t="s">
        <v>1691</v>
      </c>
      <c r="F2012">
        <v>7</v>
      </c>
    </row>
    <row r="2013" spans="2:6" x14ac:dyDescent="0.15">
      <c r="E2013" t="s">
        <v>972</v>
      </c>
      <c r="F2013">
        <v>9999</v>
      </c>
    </row>
    <row r="2014" spans="2:6" x14ac:dyDescent="0.15">
      <c r="E2014" t="s">
        <v>973</v>
      </c>
      <c r="F2014" t="s">
        <v>974</v>
      </c>
    </row>
    <row r="2015" spans="2:6" x14ac:dyDescent="0.15">
      <c r="E2015" t="s">
        <v>975</v>
      </c>
      <c r="F2015" t="s">
        <v>124</v>
      </c>
    </row>
    <row r="2016" spans="2:6" x14ac:dyDescent="0.15">
      <c r="B2016" t="s">
        <v>1774</v>
      </c>
      <c r="D2016" t="s">
        <v>1775</v>
      </c>
      <c r="E2016" t="s">
        <v>1757</v>
      </c>
      <c r="F2016">
        <v>5</v>
      </c>
    </row>
    <row r="2017" spans="2:6" x14ac:dyDescent="0.15">
      <c r="E2017" t="s">
        <v>1758</v>
      </c>
      <c r="F2017">
        <v>4</v>
      </c>
    </row>
    <row r="2018" spans="2:6" x14ac:dyDescent="0.15">
      <c r="E2018" t="s">
        <v>1759</v>
      </c>
      <c r="F2018">
        <v>3</v>
      </c>
    </row>
    <row r="2019" spans="2:6" x14ac:dyDescent="0.15">
      <c r="E2019" t="s">
        <v>1760</v>
      </c>
      <c r="F2019">
        <v>2</v>
      </c>
    </row>
    <row r="2020" spans="2:6" x14ac:dyDescent="0.15">
      <c r="E2020" t="s">
        <v>1761</v>
      </c>
      <c r="F2020">
        <v>1</v>
      </c>
    </row>
    <row r="2021" spans="2:6" x14ac:dyDescent="0.15">
      <c r="E2021" t="s">
        <v>1763</v>
      </c>
      <c r="F2021">
        <v>7</v>
      </c>
    </row>
    <row r="2022" spans="2:6" x14ac:dyDescent="0.15">
      <c r="E2022" t="s">
        <v>1764</v>
      </c>
      <c r="F2022">
        <v>8</v>
      </c>
    </row>
    <row r="2023" spans="2:6" x14ac:dyDescent="0.15">
      <c r="E2023" t="s">
        <v>1765</v>
      </c>
      <c r="F2023">
        <v>9</v>
      </c>
    </row>
    <row r="2024" spans="2:6" x14ac:dyDescent="0.15">
      <c r="E2024" t="s">
        <v>972</v>
      </c>
      <c r="F2024">
        <v>9999</v>
      </c>
    </row>
    <row r="2025" spans="2:6" x14ac:dyDescent="0.15">
      <c r="E2025" t="s">
        <v>973</v>
      </c>
      <c r="F2025" t="s">
        <v>974</v>
      </c>
    </row>
    <row r="2026" spans="2:6" x14ac:dyDescent="0.15">
      <c r="E2026" t="s">
        <v>975</v>
      </c>
      <c r="F2026" t="s">
        <v>124</v>
      </c>
    </row>
    <row r="2027" spans="2:6" x14ac:dyDescent="0.15">
      <c r="B2027" t="s">
        <v>1776</v>
      </c>
      <c r="D2027" t="s">
        <v>1777</v>
      </c>
      <c r="E2027" t="s">
        <v>1757</v>
      </c>
      <c r="F2027">
        <v>5</v>
      </c>
    </row>
    <row r="2028" spans="2:6" x14ac:dyDescent="0.15">
      <c r="E2028" t="s">
        <v>1758</v>
      </c>
      <c r="F2028">
        <v>4</v>
      </c>
    </row>
    <row r="2029" spans="2:6" x14ac:dyDescent="0.15">
      <c r="E2029" t="s">
        <v>1759</v>
      </c>
      <c r="F2029">
        <v>3</v>
      </c>
    </row>
    <row r="2030" spans="2:6" x14ac:dyDescent="0.15">
      <c r="E2030" t="s">
        <v>1760</v>
      </c>
      <c r="F2030">
        <v>2</v>
      </c>
    </row>
    <row r="2031" spans="2:6" x14ac:dyDescent="0.15">
      <c r="E2031" t="s">
        <v>1761</v>
      </c>
      <c r="F2031">
        <v>1</v>
      </c>
    </row>
    <row r="2032" spans="2:6" x14ac:dyDescent="0.15">
      <c r="E2032" t="s">
        <v>1763</v>
      </c>
      <c r="F2032">
        <v>7</v>
      </c>
    </row>
    <row r="2033" spans="2:6" x14ac:dyDescent="0.15">
      <c r="E2033" t="s">
        <v>1764</v>
      </c>
      <c r="F2033">
        <v>8</v>
      </c>
    </row>
    <row r="2034" spans="2:6" x14ac:dyDescent="0.15">
      <c r="E2034" t="s">
        <v>1765</v>
      </c>
      <c r="F2034">
        <v>9</v>
      </c>
    </row>
    <row r="2035" spans="2:6" x14ac:dyDescent="0.15">
      <c r="E2035" t="s">
        <v>972</v>
      </c>
      <c r="F2035">
        <v>9999</v>
      </c>
    </row>
    <row r="2036" spans="2:6" x14ac:dyDescent="0.15">
      <c r="E2036" t="s">
        <v>973</v>
      </c>
      <c r="F2036" t="s">
        <v>974</v>
      </c>
    </row>
    <row r="2037" spans="2:6" x14ac:dyDescent="0.15">
      <c r="E2037" t="s">
        <v>975</v>
      </c>
      <c r="F2037" t="s">
        <v>124</v>
      </c>
    </row>
    <row r="2038" spans="2:6" x14ac:dyDescent="0.15">
      <c r="B2038" t="s">
        <v>1778</v>
      </c>
      <c r="D2038" t="s">
        <v>1779</v>
      </c>
      <c r="E2038" t="s">
        <v>1757</v>
      </c>
      <c r="F2038">
        <v>5</v>
      </c>
    </row>
    <row r="2039" spans="2:6" x14ac:dyDescent="0.15">
      <c r="E2039" t="s">
        <v>1758</v>
      </c>
      <c r="F2039">
        <v>4</v>
      </c>
    </row>
    <row r="2040" spans="2:6" x14ac:dyDescent="0.15">
      <c r="E2040" t="s">
        <v>1759</v>
      </c>
      <c r="F2040">
        <v>3</v>
      </c>
    </row>
    <row r="2041" spans="2:6" x14ac:dyDescent="0.15">
      <c r="E2041" t="s">
        <v>1760</v>
      </c>
      <c r="F2041">
        <v>2</v>
      </c>
    </row>
    <row r="2042" spans="2:6" x14ac:dyDescent="0.15">
      <c r="E2042" t="s">
        <v>1761</v>
      </c>
      <c r="F2042">
        <v>1</v>
      </c>
    </row>
    <row r="2043" spans="2:6" x14ac:dyDescent="0.15">
      <c r="E2043" t="s">
        <v>1763</v>
      </c>
      <c r="F2043">
        <v>7</v>
      </c>
    </row>
    <row r="2044" spans="2:6" x14ac:dyDescent="0.15">
      <c r="E2044" t="s">
        <v>1764</v>
      </c>
      <c r="F2044">
        <v>8</v>
      </c>
    </row>
    <row r="2045" spans="2:6" x14ac:dyDescent="0.15">
      <c r="E2045" t="s">
        <v>1765</v>
      </c>
      <c r="F2045">
        <v>9</v>
      </c>
    </row>
    <row r="2046" spans="2:6" x14ac:dyDescent="0.15">
      <c r="E2046" t="s">
        <v>972</v>
      </c>
      <c r="F2046">
        <v>9999</v>
      </c>
    </row>
    <row r="2047" spans="2:6" x14ac:dyDescent="0.15">
      <c r="E2047" t="s">
        <v>973</v>
      </c>
      <c r="F2047" t="s">
        <v>974</v>
      </c>
    </row>
    <row r="2048" spans="2:6" x14ac:dyDescent="0.15">
      <c r="E2048" t="s">
        <v>975</v>
      </c>
      <c r="F2048" t="s">
        <v>124</v>
      </c>
    </row>
    <row r="2049" spans="2:6" x14ac:dyDescent="0.15">
      <c r="B2049" t="s">
        <v>1780</v>
      </c>
      <c r="D2049" t="s">
        <v>1781</v>
      </c>
      <c r="E2049" t="s">
        <v>1757</v>
      </c>
      <c r="F2049">
        <v>5</v>
      </c>
    </row>
    <row r="2050" spans="2:6" x14ac:dyDescent="0.15">
      <c r="E2050" t="s">
        <v>1758</v>
      </c>
      <c r="F2050">
        <v>4</v>
      </c>
    </row>
    <row r="2051" spans="2:6" x14ac:dyDescent="0.15">
      <c r="E2051" t="s">
        <v>1759</v>
      </c>
      <c r="F2051">
        <v>3</v>
      </c>
    </row>
    <row r="2052" spans="2:6" x14ac:dyDescent="0.15">
      <c r="E2052" t="s">
        <v>1760</v>
      </c>
      <c r="F2052">
        <v>2</v>
      </c>
    </row>
    <row r="2053" spans="2:6" x14ac:dyDescent="0.15">
      <c r="E2053" t="s">
        <v>1761</v>
      </c>
      <c r="F2053">
        <v>1</v>
      </c>
    </row>
    <row r="2054" spans="2:6" x14ac:dyDescent="0.15">
      <c r="E2054" t="s">
        <v>1763</v>
      </c>
      <c r="F2054">
        <v>7</v>
      </c>
    </row>
    <row r="2055" spans="2:6" x14ac:dyDescent="0.15">
      <c r="E2055" t="s">
        <v>1764</v>
      </c>
      <c r="F2055">
        <v>8</v>
      </c>
    </row>
    <row r="2056" spans="2:6" x14ac:dyDescent="0.15">
      <c r="E2056" t="s">
        <v>1765</v>
      </c>
      <c r="F2056">
        <v>9</v>
      </c>
    </row>
    <row r="2057" spans="2:6" x14ac:dyDescent="0.15">
      <c r="E2057" t="s">
        <v>972</v>
      </c>
      <c r="F2057">
        <v>9999</v>
      </c>
    </row>
    <row r="2058" spans="2:6" x14ac:dyDescent="0.15">
      <c r="E2058" t="s">
        <v>973</v>
      </c>
      <c r="F2058" t="s">
        <v>974</v>
      </c>
    </row>
    <row r="2059" spans="2:6" x14ac:dyDescent="0.15">
      <c r="E2059" t="s">
        <v>975</v>
      </c>
      <c r="F2059" t="s">
        <v>124</v>
      </c>
    </row>
    <row r="2060" spans="2:6" x14ac:dyDescent="0.15">
      <c r="B2060" t="s">
        <v>1782</v>
      </c>
      <c r="D2060" t="s">
        <v>1783</v>
      </c>
      <c r="E2060" t="s">
        <v>1685</v>
      </c>
      <c r="F2060">
        <v>1</v>
      </c>
    </row>
    <row r="2061" spans="2:6" x14ac:dyDescent="0.15">
      <c r="E2061" t="s">
        <v>1686</v>
      </c>
      <c r="F2061">
        <v>2</v>
      </c>
    </row>
    <row r="2062" spans="2:6" x14ac:dyDescent="0.15">
      <c r="E2062" t="s">
        <v>1687</v>
      </c>
      <c r="F2062">
        <v>3</v>
      </c>
    </row>
    <row r="2063" spans="2:6" x14ac:dyDescent="0.15">
      <c r="E2063" t="s">
        <v>1688</v>
      </c>
      <c r="F2063">
        <v>4</v>
      </c>
    </row>
    <row r="2064" spans="2:6" x14ac:dyDescent="0.15">
      <c r="E2064" t="s">
        <v>1689</v>
      </c>
      <c r="F2064">
        <v>5</v>
      </c>
    </row>
    <row r="2065" spans="2:6" x14ac:dyDescent="0.15">
      <c r="E2065" t="s">
        <v>1690</v>
      </c>
      <c r="F2065">
        <v>6</v>
      </c>
    </row>
    <row r="2066" spans="2:6" x14ac:dyDescent="0.15">
      <c r="E2066" t="s">
        <v>1691</v>
      </c>
      <c r="F2066">
        <v>7</v>
      </c>
    </row>
    <row r="2067" spans="2:6" x14ac:dyDescent="0.15">
      <c r="E2067" t="s">
        <v>972</v>
      </c>
      <c r="F2067">
        <v>9999</v>
      </c>
    </row>
    <row r="2068" spans="2:6" x14ac:dyDescent="0.15">
      <c r="E2068" t="s">
        <v>973</v>
      </c>
      <c r="F2068" t="s">
        <v>974</v>
      </c>
    </row>
    <row r="2069" spans="2:6" x14ac:dyDescent="0.15">
      <c r="E2069" t="s">
        <v>975</v>
      </c>
      <c r="F2069" t="s">
        <v>124</v>
      </c>
    </row>
    <row r="2070" spans="2:6" x14ac:dyDescent="0.15">
      <c r="B2070" t="s">
        <v>1784</v>
      </c>
      <c r="D2070" t="s">
        <v>1785</v>
      </c>
      <c r="E2070" t="s">
        <v>1685</v>
      </c>
      <c r="F2070">
        <v>1</v>
      </c>
    </row>
    <row r="2071" spans="2:6" x14ac:dyDescent="0.15">
      <c r="E2071" t="s">
        <v>1686</v>
      </c>
      <c r="F2071">
        <v>2</v>
      </c>
    </row>
    <row r="2072" spans="2:6" x14ac:dyDescent="0.15">
      <c r="E2072" t="s">
        <v>1687</v>
      </c>
      <c r="F2072">
        <v>3</v>
      </c>
    </row>
    <row r="2073" spans="2:6" x14ac:dyDescent="0.15">
      <c r="E2073" t="s">
        <v>1688</v>
      </c>
      <c r="F2073">
        <v>4</v>
      </c>
    </row>
    <row r="2074" spans="2:6" x14ac:dyDescent="0.15">
      <c r="E2074" t="s">
        <v>1689</v>
      </c>
      <c r="F2074">
        <v>5</v>
      </c>
    </row>
    <row r="2075" spans="2:6" x14ac:dyDescent="0.15">
      <c r="E2075" t="s">
        <v>1690</v>
      </c>
      <c r="F2075">
        <v>6</v>
      </c>
    </row>
    <row r="2076" spans="2:6" x14ac:dyDescent="0.15">
      <c r="E2076" t="s">
        <v>1691</v>
      </c>
      <c r="F2076">
        <v>7</v>
      </c>
    </row>
    <row r="2077" spans="2:6" x14ac:dyDescent="0.15">
      <c r="E2077" t="s">
        <v>972</v>
      </c>
      <c r="F2077">
        <v>9999</v>
      </c>
    </row>
    <row r="2078" spans="2:6" x14ac:dyDescent="0.15">
      <c r="E2078" t="s">
        <v>973</v>
      </c>
      <c r="F2078" t="s">
        <v>974</v>
      </c>
    </row>
    <row r="2079" spans="2:6" x14ac:dyDescent="0.15">
      <c r="E2079" t="s">
        <v>975</v>
      </c>
      <c r="F2079" t="s">
        <v>124</v>
      </c>
    </row>
    <row r="2080" spans="2:6" x14ac:dyDescent="0.15">
      <c r="B2080" t="s">
        <v>1786</v>
      </c>
      <c r="D2080" t="s">
        <v>1787</v>
      </c>
      <c r="E2080" t="s">
        <v>1685</v>
      </c>
      <c r="F2080">
        <v>1</v>
      </c>
    </row>
    <row r="2081" spans="2:6" x14ac:dyDescent="0.15">
      <c r="E2081" t="s">
        <v>1686</v>
      </c>
      <c r="F2081">
        <v>2</v>
      </c>
    </row>
    <row r="2082" spans="2:6" x14ac:dyDescent="0.15">
      <c r="E2082" t="s">
        <v>1687</v>
      </c>
      <c r="F2082">
        <v>3</v>
      </c>
    </row>
    <row r="2083" spans="2:6" x14ac:dyDescent="0.15">
      <c r="E2083" t="s">
        <v>1688</v>
      </c>
      <c r="F2083">
        <v>4</v>
      </c>
    </row>
    <row r="2084" spans="2:6" x14ac:dyDescent="0.15">
      <c r="E2084" t="s">
        <v>1689</v>
      </c>
      <c r="F2084">
        <v>5</v>
      </c>
    </row>
    <row r="2085" spans="2:6" x14ac:dyDescent="0.15">
      <c r="E2085" t="s">
        <v>1690</v>
      </c>
      <c r="F2085">
        <v>6</v>
      </c>
    </row>
    <row r="2086" spans="2:6" x14ac:dyDescent="0.15">
      <c r="E2086" t="s">
        <v>1691</v>
      </c>
      <c r="F2086">
        <v>7</v>
      </c>
    </row>
    <row r="2087" spans="2:6" x14ac:dyDescent="0.15">
      <c r="E2087" t="s">
        <v>972</v>
      </c>
      <c r="F2087">
        <v>9999</v>
      </c>
    </row>
    <row r="2088" spans="2:6" x14ac:dyDescent="0.15">
      <c r="E2088" t="s">
        <v>973</v>
      </c>
      <c r="F2088" t="s">
        <v>974</v>
      </c>
    </row>
    <row r="2089" spans="2:6" x14ac:dyDescent="0.15">
      <c r="E2089" t="s">
        <v>975</v>
      </c>
      <c r="F2089" t="s">
        <v>124</v>
      </c>
    </row>
    <row r="2090" spans="2:6" x14ac:dyDescent="0.15">
      <c r="B2090" t="s">
        <v>1788</v>
      </c>
      <c r="D2090" t="s">
        <v>1789</v>
      </c>
      <c r="E2090" t="s">
        <v>1723</v>
      </c>
      <c r="F2090">
        <v>0</v>
      </c>
    </row>
    <row r="2091" spans="2:6" x14ac:dyDescent="0.15">
      <c r="E2091" t="s">
        <v>1724</v>
      </c>
      <c r="F2091">
        <v>1</v>
      </c>
    </row>
    <row r="2092" spans="2:6" x14ac:dyDescent="0.15">
      <c r="E2092" t="s">
        <v>974</v>
      </c>
      <c r="F2092">
        <v>7</v>
      </c>
    </row>
    <row r="2093" spans="2:6" x14ac:dyDescent="0.15">
      <c r="E2093" t="s">
        <v>1725</v>
      </c>
      <c r="F2093">
        <v>9</v>
      </c>
    </row>
    <row r="2094" spans="2:6" x14ac:dyDescent="0.15">
      <c r="E2094" t="s">
        <v>972</v>
      </c>
      <c r="F2094">
        <v>9999</v>
      </c>
    </row>
    <row r="2095" spans="2:6" x14ac:dyDescent="0.15">
      <c r="E2095" t="s">
        <v>973</v>
      </c>
      <c r="F2095" t="s">
        <v>974</v>
      </c>
    </row>
    <row r="2096" spans="2:6" x14ac:dyDescent="0.15">
      <c r="E2096" t="s">
        <v>975</v>
      </c>
      <c r="F2096" t="s">
        <v>124</v>
      </c>
    </row>
    <row r="2097" spans="2:6" x14ac:dyDescent="0.15">
      <c r="B2097" t="s">
        <v>1790</v>
      </c>
      <c r="D2097" t="s">
        <v>1791</v>
      </c>
      <c r="E2097" t="s">
        <v>1723</v>
      </c>
      <c r="F2097">
        <v>0</v>
      </c>
    </row>
    <row r="2098" spans="2:6" x14ac:dyDescent="0.15">
      <c r="E2098" t="s">
        <v>1724</v>
      </c>
      <c r="F2098">
        <v>1</v>
      </c>
    </row>
    <row r="2099" spans="2:6" x14ac:dyDescent="0.15">
      <c r="E2099" t="s">
        <v>974</v>
      </c>
      <c r="F2099">
        <v>7</v>
      </c>
    </row>
    <row r="2100" spans="2:6" x14ac:dyDescent="0.15">
      <c r="E2100" t="s">
        <v>1725</v>
      </c>
      <c r="F2100">
        <v>9</v>
      </c>
    </row>
    <row r="2101" spans="2:6" x14ac:dyDescent="0.15">
      <c r="E2101" t="s">
        <v>972</v>
      </c>
      <c r="F2101">
        <v>9999</v>
      </c>
    </row>
    <row r="2102" spans="2:6" x14ac:dyDescent="0.15">
      <c r="E2102" t="s">
        <v>973</v>
      </c>
      <c r="F2102" t="s">
        <v>974</v>
      </c>
    </row>
    <row r="2103" spans="2:6" x14ac:dyDescent="0.15">
      <c r="E2103" t="s">
        <v>975</v>
      </c>
      <c r="F2103" t="s">
        <v>124</v>
      </c>
    </row>
    <row r="2104" spans="2:6" x14ac:dyDescent="0.15">
      <c r="B2104" t="s">
        <v>1792</v>
      </c>
      <c r="D2104" t="s">
        <v>1793</v>
      </c>
      <c r="E2104" t="s">
        <v>1723</v>
      </c>
      <c r="F2104">
        <v>0</v>
      </c>
    </row>
    <row r="2105" spans="2:6" x14ac:dyDescent="0.15">
      <c r="E2105" t="s">
        <v>1724</v>
      </c>
      <c r="F2105">
        <v>1</v>
      </c>
    </row>
    <row r="2106" spans="2:6" x14ac:dyDescent="0.15">
      <c r="E2106" t="s">
        <v>974</v>
      </c>
      <c r="F2106">
        <v>7</v>
      </c>
    </row>
    <row r="2107" spans="2:6" x14ac:dyDescent="0.15">
      <c r="E2107" t="s">
        <v>1725</v>
      </c>
      <c r="F2107">
        <v>9</v>
      </c>
    </row>
    <row r="2108" spans="2:6" x14ac:dyDescent="0.15">
      <c r="E2108" t="s">
        <v>972</v>
      </c>
      <c r="F2108">
        <v>9999</v>
      </c>
    </row>
    <row r="2109" spans="2:6" x14ac:dyDescent="0.15">
      <c r="E2109" t="s">
        <v>973</v>
      </c>
      <c r="F2109" t="s">
        <v>974</v>
      </c>
    </row>
    <row r="2110" spans="2:6" x14ac:dyDescent="0.15">
      <c r="E2110" t="s">
        <v>975</v>
      </c>
      <c r="F2110" t="s">
        <v>124</v>
      </c>
    </row>
    <row r="2111" spans="2:6" x14ac:dyDescent="0.15">
      <c r="B2111" t="s">
        <v>1794</v>
      </c>
      <c r="D2111" t="s">
        <v>1795</v>
      </c>
      <c r="E2111" t="s">
        <v>1723</v>
      </c>
      <c r="F2111">
        <v>0</v>
      </c>
    </row>
    <row r="2112" spans="2:6" x14ac:dyDescent="0.15">
      <c r="E2112" t="s">
        <v>1724</v>
      </c>
      <c r="F2112">
        <v>1</v>
      </c>
    </row>
    <row r="2113" spans="2:6" x14ac:dyDescent="0.15">
      <c r="E2113" t="s">
        <v>974</v>
      </c>
      <c r="F2113">
        <v>7</v>
      </c>
    </row>
    <row r="2114" spans="2:6" x14ac:dyDescent="0.15">
      <c r="E2114" t="s">
        <v>1725</v>
      </c>
      <c r="F2114">
        <v>9</v>
      </c>
    </row>
    <row r="2115" spans="2:6" x14ac:dyDescent="0.15">
      <c r="E2115" t="s">
        <v>972</v>
      </c>
      <c r="F2115">
        <v>9999</v>
      </c>
    </row>
    <row r="2116" spans="2:6" x14ac:dyDescent="0.15">
      <c r="E2116" t="s">
        <v>973</v>
      </c>
      <c r="F2116" t="s">
        <v>974</v>
      </c>
    </row>
    <row r="2117" spans="2:6" x14ac:dyDescent="0.15">
      <c r="E2117" t="s">
        <v>975</v>
      </c>
      <c r="F2117" t="s">
        <v>124</v>
      </c>
    </row>
    <row r="2118" spans="2:6" x14ac:dyDescent="0.15">
      <c r="B2118" t="s">
        <v>1796</v>
      </c>
      <c r="D2118" t="s">
        <v>1797</v>
      </c>
      <c r="E2118" t="s">
        <v>1723</v>
      </c>
      <c r="F2118">
        <v>0</v>
      </c>
    </row>
    <row r="2119" spans="2:6" x14ac:dyDescent="0.15">
      <c r="E2119" t="s">
        <v>1724</v>
      </c>
      <c r="F2119">
        <v>1</v>
      </c>
    </row>
    <row r="2120" spans="2:6" x14ac:dyDescent="0.15">
      <c r="E2120" t="s">
        <v>974</v>
      </c>
      <c r="F2120">
        <v>7</v>
      </c>
    </row>
    <row r="2121" spans="2:6" x14ac:dyDescent="0.15">
      <c r="E2121" t="s">
        <v>1725</v>
      </c>
      <c r="F2121">
        <v>9</v>
      </c>
    </row>
    <row r="2122" spans="2:6" x14ac:dyDescent="0.15">
      <c r="E2122" t="s">
        <v>972</v>
      </c>
      <c r="F2122">
        <v>9999</v>
      </c>
    </row>
    <row r="2123" spans="2:6" x14ac:dyDescent="0.15">
      <c r="E2123" t="s">
        <v>973</v>
      </c>
      <c r="F2123" t="s">
        <v>974</v>
      </c>
    </row>
    <row r="2124" spans="2:6" x14ac:dyDescent="0.15">
      <c r="E2124" t="s">
        <v>975</v>
      </c>
      <c r="F2124" t="s">
        <v>124</v>
      </c>
    </row>
    <row r="2125" spans="2:6" x14ac:dyDescent="0.15">
      <c r="B2125" t="s">
        <v>1798</v>
      </c>
      <c r="D2125" t="s">
        <v>1799</v>
      </c>
      <c r="E2125" t="s">
        <v>1723</v>
      </c>
      <c r="F2125">
        <v>0</v>
      </c>
    </row>
    <row r="2126" spans="2:6" x14ac:dyDescent="0.15">
      <c r="E2126" t="s">
        <v>1724</v>
      </c>
      <c r="F2126">
        <v>1</v>
      </c>
    </row>
    <row r="2127" spans="2:6" x14ac:dyDescent="0.15">
      <c r="E2127" t="s">
        <v>974</v>
      </c>
      <c r="F2127">
        <v>7</v>
      </c>
    </row>
    <row r="2128" spans="2:6" x14ac:dyDescent="0.15">
      <c r="E2128" t="s">
        <v>1725</v>
      </c>
      <c r="F2128">
        <v>9</v>
      </c>
    </row>
    <row r="2129" spans="2:6" x14ac:dyDescent="0.15">
      <c r="E2129" t="s">
        <v>972</v>
      </c>
      <c r="F2129">
        <v>9999</v>
      </c>
    </row>
    <row r="2130" spans="2:6" x14ac:dyDescent="0.15">
      <c r="E2130" t="s">
        <v>973</v>
      </c>
      <c r="F2130" t="s">
        <v>974</v>
      </c>
    </row>
    <row r="2131" spans="2:6" x14ac:dyDescent="0.15">
      <c r="E2131" t="s">
        <v>975</v>
      </c>
      <c r="F2131" t="s">
        <v>124</v>
      </c>
    </row>
    <row r="2132" spans="2:6" x14ac:dyDescent="0.15">
      <c r="B2132" t="s">
        <v>1800</v>
      </c>
      <c r="D2132" t="s">
        <v>1801</v>
      </c>
      <c r="E2132" t="s">
        <v>1723</v>
      </c>
      <c r="F2132">
        <v>0</v>
      </c>
    </row>
    <row r="2133" spans="2:6" x14ac:dyDescent="0.15">
      <c r="E2133" t="s">
        <v>1724</v>
      </c>
      <c r="F2133">
        <v>1</v>
      </c>
    </row>
    <row r="2134" spans="2:6" x14ac:dyDescent="0.15">
      <c r="E2134" t="s">
        <v>974</v>
      </c>
      <c r="F2134">
        <v>7</v>
      </c>
    </row>
    <row r="2135" spans="2:6" x14ac:dyDescent="0.15">
      <c r="E2135" t="s">
        <v>1725</v>
      </c>
      <c r="F2135">
        <v>9</v>
      </c>
    </row>
    <row r="2136" spans="2:6" x14ac:dyDescent="0.15">
      <c r="E2136" t="s">
        <v>972</v>
      </c>
      <c r="F2136">
        <v>9999</v>
      </c>
    </row>
    <row r="2137" spans="2:6" x14ac:dyDescent="0.15">
      <c r="E2137" t="s">
        <v>973</v>
      </c>
      <c r="F2137" t="s">
        <v>974</v>
      </c>
    </row>
    <row r="2138" spans="2:6" x14ac:dyDescent="0.15">
      <c r="E2138" t="s">
        <v>975</v>
      </c>
      <c r="F2138" t="s">
        <v>124</v>
      </c>
    </row>
    <row r="2139" spans="2:6" x14ac:dyDescent="0.15">
      <c r="B2139" t="s">
        <v>1802</v>
      </c>
      <c r="D2139" t="s">
        <v>1803</v>
      </c>
      <c r="E2139" t="s">
        <v>1723</v>
      </c>
      <c r="F2139">
        <v>0</v>
      </c>
    </row>
    <row r="2140" spans="2:6" x14ac:dyDescent="0.15">
      <c r="E2140" t="s">
        <v>1724</v>
      </c>
      <c r="F2140">
        <v>1</v>
      </c>
    </row>
    <row r="2141" spans="2:6" x14ac:dyDescent="0.15">
      <c r="E2141" t="s">
        <v>974</v>
      </c>
      <c r="F2141">
        <v>7</v>
      </c>
    </row>
    <row r="2142" spans="2:6" x14ac:dyDescent="0.15">
      <c r="E2142" t="s">
        <v>1725</v>
      </c>
      <c r="F2142">
        <v>9</v>
      </c>
    </row>
    <row r="2143" spans="2:6" x14ac:dyDescent="0.15">
      <c r="E2143" t="s">
        <v>972</v>
      </c>
      <c r="F2143">
        <v>9999</v>
      </c>
    </row>
    <row r="2144" spans="2:6" x14ac:dyDescent="0.15">
      <c r="E2144" t="s">
        <v>973</v>
      </c>
      <c r="F2144" t="s">
        <v>974</v>
      </c>
    </row>
    <row r="2145" spans="2:6" x14ac:dyDescent="0.15">
      <c r="E2145" t="s">
        <v>975</v>
      </c>
      <c r="F2145" t="s">
        <v>124</v>
      </c>
    </row>
    <row r="2146" spans="2:6" x14ac:dyDescent="0.15">
      <c r="B2146" t="s">
        <v>1804</v>
      </c>
      <c r="D2146" t="s">
        <v>1805</v>
      </c>
      <c r="E2146" t="s">
        <v>1723</v>
      </c>
      <c r="F2146">
        <v>0</v>
      </c>
    </row>
    <row r="2147" spans="2:6" x14ac:dyDescent="0.15">
      <c r="E2147" t="s">
        <v>1724</v>
      </c>
      <c r="F2147">
        <v>1</v>
      </c>
    </row>
    <row r="2148" spans="2:6" x14ac:dyDescent="0.15">
      <c r="E2148" t="s">
        <v>974</v>
      </c>
      <c r="F2148">
        <v>7</v>
      </c>
    </row>
    <row r="2149" spans="2:6" x14ac:dyDescent="0.15">
      <c r="E2149" t="s">
        <v>1725</v>
      </c>
      <c r="F2149">
        <v>9</v>
      </c>
    </row>
    <row r="2150" spans="2:6" x14ac:dyDescent="0.15">
      <c r="E2150" t="s">
        <v>972</v>
      </c>
      <c r="F2150">
        <v>9999</v>
      </c>
    </row>
    <row r="2151" spans="2:6" x14ac:dyDescent="0.15">
      <c r="E2151" t="s">
        <v>973</v>
      </c>
      <c r="F2151" t="s">
        <v>974</v>
      </c>
    </row>
    <row r="2152" spans="2:6" x14ac:dyDescent="0.15">
      <c r="E2152" t="s">
        <v>975</v>
      </c>
      <c r="F2152" t="s">
        <v>124</v>
      </c>
    </row>
    <row r="2153" spans="2:6" x14ac:dyDescent="0.15">
      <c r="B2153" t="s">
        <v>1806</v>
      </c>
      <c r="D2153" t="s">
        <v>1807</v>
      </c>
      <c r="E2153" t="s">
        <v>1723</v>
      </c>
      <c r="F2153">
        <v>0</v>
      </c>
    </row>
    <row r="2154" spans="2:6" x14ac:dyDescent="0.15">
      <c r="E2154" t="s">
        <v>1724</v>
      </c>
      <c r="F2154">
        <v>1</v>
      </c>
    </row>
    <row r="2155" spans="2:6" x14ac:dyDescent="0.15">
      <c r="E2155" t="s">
        <v>974</v>
      </c>
      <c r="F2155">
        <v>7</v>
      </c>
    </row>
    <row r="2156" spans="2:6" x14ac:dyDescent="0.15">
      <c r="E2156" t="s">
        <v>1725</v>
      </c>
      <c r="F2156">
        <v>9</v>
      </c>
    </row>
    <row r="2157" spans="2:6" x14ac:dyDescent="0.15">
      <c r="E2157" t="s">
        <v>972</v>
      </c>
      <c r="F2157">
        <v>9999</v>
      </c>
    </row>
    <row r="2158" spans="2:6" x14ac:dyDescent="0.15">
      <c r="E2158" t="s">
        <v>973</v>
      </c>
      <c r="F2158" t="s">
        <v>974</v>
      </c>
    </row>
    <row r="2159" spans="2:6" x14ac:dyDescent="0.15">
      <c r="E2159" t="s">
        <v>975</v>
      </c>
      <c r="F2159" t="s">
        <v>124</v>
      </c>
    </row>
    <row r="2160" spans="2:6" x14ac:dyDescent="0.15">
      <c r="B2160" t="s">
        <v>1808</v>
      </c>
      <c r="D2160" t="s">
        <v>1809</v>
      </c>
      <c r="E2160" t="s">
        <v>1723</v>
      </c>
      <c r="F2160">
        <v>0</v>
      </c>
    </row>
    <row r="2161" spans="2:6" x14ac:dyDescent="0.15">
      <c r="E2161" t="s">
        <v>1724</v>
      </c>
      <c r="F2161">
        <v>1</v>
      </c>
    </row>
    <row r="2162" spans="2:6" x14ac:dyDescent="0.15">
      <c r="E2162" t="s">
        <v>974</v>
      </c>
      <c r="F2162">
        <v>7</v>
      </c>
    </row>
    <row r="2163" spans="2:6" x14ac:dyDescent="0.15">
      <c r="E2163" t="s">
        <v>1725</v>
      </c>
      <c r="F2163">
        <v>9</v>
      </c>
    </row>
    <row r="2164" spans="2:6" x14ac:dyDescent="0.15">
      <c r="E2164" t="s">
        <v>972</v>
      </c>
      <c r="F2164">
        <v>9999</v>
      </c>
    </row>
    <row r="2165" spans="2:6" x14ac:dyDescent="0.15">
      <c r="E2165" t="s">
        <v>973</v>
      </c>
      <c r="F2165" t="s">
        <v>974</v>
      </c>
    </row>
    <row r="2166" spans="2:6" x14ac:dyDescent="0.15">
      <c r="E2166" t="s">
        <v>975</v>
      </c>
      <c r="F2166" t="s">
        <v>124</v>
      </c>
    </row>
    <row r="2167" spans="2:6" x14ac:dyDescent="0.15">
      <c r="B2167" t="s">
        <v>1810</v>
      </c>
      <c r="D2167" t="s">
        <v>1811</v>
      </c>
      <c r="E2167" t="s">
        <v>1723</v>
      </c>
      <c r="F2167">
        <v>0</v>
      </c>
    </row>
    <row r="2168" spans="2:6" x14ac:dyDescent="0.15">
      <c r="E2168" t="s">
        <v>1724</v>
      </c>
      <c r="F2168">
        <v>1</v>
      </c>
    </row>
    <row r="2169" spans="2:6" x14ac:dyDescent="0.15">
      <c r="E2169" t="s">
        <v>974</v>
      </c>
      <c r="F2169">
        <v>7</v>
      </c>
    </row>
    <row r="2170" spans="2:6" x14ac:dyDescent="0.15">
      <c r="E2170" t="s">
        <v>1725</v>
      </c>
      <c r="F2170">
        <v>9</v>
      </c>
    </row>
    <row r="2171" spans="2:6" x14ac:dyDescent="0.15">
      <c r="E2171" t="s">
        <v>972</v>
      </c>
      <c r="F2171">
        <v>9999</v>
      </c>
    </row>
    <row r="2172" spans="2:6" x14ac:dyDescent="0.15">
      <c r="E2172" t="s">
        <v>973</v>
      </c>
      <c r="F2172" t="s">
        <v>974</v>
      </c>
    </row>
    <row r="2173" spans="2:6" x14ac:dyDescent="0.15">
      <c r="E2173" t="s">
        <v>975</v>
      </c>
      <c r="F2173" t="s">
        <v>124</v>
      </c>
    </row>
    <row r="2174" spans="2:6" x14ac:dyDescent="0.15">
      <c r="B2174" t="s">
        <v>1812</v>
      </c>
      <c r="D2174" t="s">
        <v>1813</v>
      </c>
      <c r="E2174" t="s">
        <v>1723</v>
      </c>
      <c r="F2174">
        <v>0</v>
      </c>
    </row>
    <row r="2175" spans="2:6" x14ac:dyDescent="0.15">
      <c r="E2175" t="s">
        <v>1724</v>
      </c>
      <c r="F2175">
        <v>1</v>
      </c>
    </row>
    <row r="2176" spans="2:6" x14ac:dyDescent="0.15">
      <c r="E2176" t="s">
        <v>974</v>
      </c>
      <c r="F2176">
        <v>7</v>
      </c>
    </row>
    <row r="2177" spans="2:6" x14ac:dyDescent="0.15">
      <c r="E2177" t="s">
        <v>1725</v>
      </c>
      <c r="F2177">
        <v>9</v>
      </c>
    </row>
    <row r="2178" spans="2:6" x14ac:dyDescent="0.15">
      <c r="E2178" t="s">
        <v>972</v>
      </c>
      <c r="F2178">
        <v>9999</v>
      </c>
    </row>
    <row r="2179" spans="2:6" x14ac:dyDescent="0.15">
      <c r="E2179" t="s">
        <v>973</v>
      </c>
      <c r="F2179" t="s">
        <v>974</v>
      </c>
    </row>
    <row r="2180" spans="2:6" x14ac:dyDescent="0.15">
      <c r="E2180" t="s">
        <v>975</v>
      </c>
      <c r="F2180" t="s">
        <v>124</v>
      </c>
    </row>
    <row r="2181" spans="2:6" x14ac:dyDescent="0.15">
      <c r="B2181" t="s">
        <v>1814</v>
      </c>
      <c r="D2181" t="s">
        <v>1815</v>
      </c>
      <c r="E2181" t="s">
        <v>1723</v>
      </c>
      <c r="F2181">
        <v>0</v>
      </c>
    </row>
    <row r="2182" spans="2:6" x14ac:dyDescent="0.15">
      <c r="E2182" t="s">
        <v>1724</v>
      </c>
      <c r="F2182">
        <v>1</v>
      </c>
    </row>
    <row r="2183" spans="2:6" x14ac:dyDescent="0.15">
      <c r="E2183" t="s">
        <v>974</v>
      </c>
      <c r="F2183">
        <v>7</v>
      </c>
    </row>
    <row r="2184" spans="2:6" x14ac:dyDescent="0.15">
      <c r="E2184" t="s">
        <v>1725</v>
      </c>
      <c r="F2184">
        <v>9</v>
      </c>
    </row>
    <row r="2185" spans="2:6" x14ac:dyDescent="0.15">
      <c r="E2185" t="s">
        <v>972</v>
      </c>
      <c r="F2185">
        <v>9999</v>
      </c>
    </row>
    <row r="2186" spans="2:6" x14ac:dyDescent="0.15">
      <c r="E2186" t="s">
        <v>973</v>
      </c>
      <c r="F2186" t="s">
        <v>974</v>
      </c>
    </row>
    <row r="2187" spans="2:6" x14ac:dyDescent="0.15">
      <c r="E2187" t="s">
        <v>975</v>
      </c>
      <c r="F2187" t="s">
        <v>124</v>
      </c>
    </row>
    <row r="2188" spans="2:6" ht="117" x14ac:dyDescent="0.15">
      <c r="B2188" t="s">
        <v>1816</v>
      </c>
      <c r="C2188" s="16" t="s">
        <v>1817</v>
      </c>
      <c r="D2188" t="s">
        <v>1818</v>
      </c>
    </row>
    <row r="2189" spans="2:6" ht="130" x14ac:dyDescent="0.15">
      <c r="B2189" t="s">
        <v>1819</v>
      </c>
      <c r="C2189" s="16" t="s">
        <v>1820</v>
      </c>
      <c r="D2189" t="s">
        <v>1821</v>
      </c>
    </row>
    <row r="2190" spans="2:6" x14ac:dyDescent="0.15">
      <c r="B2190" t="s">
        <v>1822</v>
      </c>
      <c r="D2190" t="s">
        <v>1823</v>
      </c>
      <c r="E2190" t="s">
        <v>1824</v>
      </c>
      <c r="F2190">
        <v>4</v>
      </c>
    </row>
    <row r="2191" spans="2:6" x14ac:dyDescent="0.15">
      <c r="E2191" t="s">
        <v>1825</v>
      </c>
      <c r="F2191">
        <v>3</v>
      </c>
    </row>
    <row r="2192" spans="2:6" x14ac:dyDescent="0.15">
      <c r="E2192" t="s">
        <v>1826</v>
      </c>
      <c r="F2192">
        <v>2</v>
      </c>
    </row>
    <row r="2193" spans="2:6" x14ac:dyDescent="0.15">
      <c r="E2193" t="s">
        <v>1827</v>
      </c>
      <c r="F2193">
        <v>1</v>
      </c>
    </row>
    <row r="2194" spans="2:6" x14ac:dyDescent="0.15">
      <c r="E2194" t="s">
        <v>972</v>
      </c>
      <c r="F2194">
        <v>9999</v>
      </c>
    </row>
    <row r="2195" spans="2:6" x14ac:dyDescent="0.15">
      <c r="E2195" t="s">
        <v>973</v>
      </c>
      <c r="F2195" t="s">
        <v>974</v>
      </c>
    </row>
    <row r="2196" spans="2:6" x14ac:dyDescent="0.15">
      <c r="E2196" t="s">
        <v>975</v>
      </c>
      <c r="F2196" t="s">
        <v>124</v>
      </c>
    </row>
    <row r="2197" spans="2:6" x14ac:dyDescent="0.15">
      <c r="B2197" t="s">
        <v>1828</v>
      </c>
      <c r="D2197" t="s">
        <v>1829</v>
      </c>
      <c r="E2197" t="s">
        <v>1001</v>
      </c>
      <c r="F2197">
        <v>0</v>
      </c>
    </row>
    <row r="2198" spans="2:6" x14ac:dyDescent="0.15">
      <c r="E2198" t="s">
        <v>1002</v>
      </c>
      <c r="F2198">
        <v>1</v>
      </c>
    </row>
    <row r="2199" spans="2:6" x14ac:dyDescent="0.15">
      <c r="E2199" t="s">
        <v>1830</v>
      </c>
      <c r="F2199">
        <v>9</v>
      </c>
    </row>
    <row r="2200" spans="2:6" x14ac:dyDescent="0.15">
      <c r="E2200" t="s">
        <v>972</v>
      </c>
      <c r="F2200">
        <v>9999</v>
      </c>
    </row>
    <row r="2201" spans="2:6" x14ac:dyDescent="0.15">
      <c r="E2201" t="s">
        <v>973</v>
      </c>
      <c r="F2201" t="s">
        <v>974</v>
      </c>
    </row>
    <row r="2202" spans="2:6" x14ac:dyDescent="0.15">
      <c r="E2202" t="s">
        <v>975</v>
      </c>
      <c r="F2202" t="s">
        <v>124</v>
      </c>
    </row>
    <row r="2203" spans="2:6" x14ac:dyDescent="0.15">
      <c r="B2203" t="s">
        <v>1831</v>
      </c>
      <c r="D2203" t="s">
        <v>1832</v>
      </c>
      <c r="E2203" t="s">
        <v>1001</v>
      </c>
      <c r="F2203">
        <v>0</v>
      </c>
    </row>
    <row r="2204" spans="2:6" x14ac:dyDescent="0.15">
      <c r="E2204" t="s">
        <v>1002</v>
      </c>
      <c r="F2204">
        <v>1</v>
      </c>
    </row>
    <row r="2205" spans="2:6" x14ac:dyDescent="0.15">
      <c r="E2205" t="s">
        <v>1830</v>
      </c>
      <c r="F2205">
        <v>9</v>
      </c>
    </row>
    <row r="2206" spans="2:6" x14ac:dyDescent="0.15">
      <c r="E2206" t="s">
        <v>972</v>
      </c>
      <c r="F2206">
        <v>9999</v>
      </c>
    </row>
    <row r="2207" spans="2:6" x14ac:dyDescent="0.15">
      <c r="E2207" t="s">
        <v>973</v>
      </c>
      <c r="F2207" t="s">
        <v>974</v>
      </c>
    </row>
    <row r="2208" spans="2:6" x14ac:dyDescent="0.15">
      <c r="E2208" t="s">
        <v>975</v>
      </c>
      <c r="F2208" t="s">
        <v>124</v>
      </c>
    </row>
    <row r="2209" spans="2:6" x14ac:dyDescent="0.15">
      <c r="B2209" t="s">
        <v>1833</v>
      </c>
      <c r="D2209" t="s">
        <v>1834</v>
      </c>
      <c r="E2209" t="s">
        <v>1001</v>
      </c>
      <c r="F2209">
        <v>0</v>
      </c>
    </row>
    <row r="2210" spans="2:6" x14ac:dyDescent="0.15">
      <c r="E2210" t="s">
        <v>1002</v>
      </c>
      <c r="F2210">
        <v>1</v>
      </c>
    </row>
    <row r="2211" spans="2:6" x14ac:dyDescent="0.15">
      <c r="E2211" t="s">
        <v>1830</v>
      </c>
      <c r="F2211">
        <v>9</v>
      </c>
    </row>
    <row r="2212" spans="2:6" x14ac:dyDescent="0.15">
      <c r="E2212" t="s">
        <v>972</v>
      </c>
      <c r="F2212">
        <v>9999</v>
      </c>
    </row>
    <row r="2213" spans="2:6" x14ac:dyDescent="0.15">
      <c r="E2213" t="s">
        <v>973</v>
      </c>
      <c r="F2213" t="s">
        <v>974</v>
      </c>
    </row>
    <row r="2214" spans="2:6" x14ac:dyDescent="0.15">
      <c r="E2214" t="s">
        <v>975</v>
      </c>
      <c r="F2214" t="s">
        <v>124</v>
      </c>
    </row>
    <row r="2215" spans="2:6" x14ac:dyDescent="0.15">
      <c r="B2215" t="s">
        <v>1835</v>
      </c>
      <c r="D2215" t="s">
        <v>1836</v>
      </c>
      <c r="E2215" t="s">
        <v>1001</v>
      </c>
      <c r="F2215">
        <v>0</v>
      </c>
    </row>
    <row r="2216" spans="2:6" x14ac:dyDescent="0.15">
      <c r="E2216" t="s">
        <v>1002</v>
      </c>
      <c r="F2216">
        <v>1</v>
      </c>
    </row>
    <row r="2217" spans="2:6" x14ac:dyDescent="0.15">
      <c r="E2217" t="s">
        <v>1830</v>
      </c>
      <c r="F2217">
        <v>9</v>
      </c>
    </row>
    <row r="2218" spans="2:6" x14ac:dyDescent="0.15">
      <c r="E2218" t="s">
        <v>972</v>
      </c>
      <c r="F2218">
        <v>9999</v>
      </c>
    </row>
    <row r="2219" spans="2:6" x14ac:dyDescent="0.15">
      <c r="E2219" t="s">
        <v>973</v>
      </c>
      <c r="F2219" t="s">
        <v>974</v>
      </c>
    </row>
    <row r="2220" spans="2:6" x14ac:dyDescent="0.15">
      <c r="E2220" t="s">
        <v>975</v>
      </c>
      <c r="F2220" t="s">
        <v>124</v>
      </c>
    </row>
    <row r="2221" spans="2:6" x14ac:dyDescent="0.15">
      <c r="B2221" t="s">
        <v>1837</v>
      </c>
      <c r="D2221" t="s">
        <v>1838</v>
      </c>
      <c r="E2221" t="s">
        <v>1001</v>
      </c>
      <c r="F2221">
        <v>0</v>
      </c>
    </row>
    <row r="2222" spans="2:6" x14ac:dyDescent="0.15">
      <c r="E2222" t="s">
        <v>1002</v>
      </c>
      <c r="F2222">
        <v>1</v>
      </c>
    </row>
    <row r="2223" spans="2:6" x14ac:dyDescent="0.15">
      <c r="E2223" t="s">
        <v>1830</v>
      </c>
      <c r="F2223">
        <v>9</v>
      </c>
    </row>
    <row r="2224" spans="2:6" x14ac:dyDescent="0.15">
      <c r="E2224" t="s">
        <v>972</v>
      </c>
      <c r="F2224">
        <v>9999</v>
      </c>
    </row>
    <row r="2225" spans="2:6" x14ac:dyDescent="0.15">
      <c r="E2225" t="s">
        <v>973</v>
      </c>
      <c r="F2225" t="s">
        <v>974</v>
      </c>
    </row>
    <row r="2226" spans="2:6" x14ac:dyDescent="0.15">
      <c r="E2226" t="s">
        <v>975</v>
      </c>
      <c r="F2226" t="s">
        <v>124</v>
      </c>
    </row>
    <row r="2227" spans="2:6" x14ac:dyDescent="0.15">
      <c r="B2227" t="s">
        <v>1839</v>
      </c>
      <c r="D2227" t="s">
        <v>1840</v>
      </c>
      <c r="E2227" t="s">
        <v>1685</v>
      </c>
      <c r="F2227">
        <v>1</v>
      </c>
    </row>
    <row r="2228" spans="2:6" x14ac:dyDescent="0.15">
      <c r="E2228" t="s">
        <v>1686</v>
      </c>
      <c r="F2228">
        <v>2</v>
      </c>
    </row>
    <row r="2229" spans="2:6" x14ac:dyDescent="0.15">
      <c r="E2229" t="s">
        <v>1687</v>
      </c>
      <c r="F2229">
        <v>3</v>
      </c>
    </row>
    <row r="2230" spans="2:6" x14ac:dyDescent="0.15">
      <c r="E2230" t="s">
        <v>1688</v>
      </c>
      <c r="F2230">
        <v>4</v>
      </c>
    </row>
    <row r="2231" spans="2:6" x14ac:dyDescent="0.15">
      <c r="E2231" t="s">
        <v>1689</v>
      </c>
      <c r="F2231">
        <v>5</v>
      </c>
    </row>
    <row r="2232" spans="2:6" x14ac:dyDescent="0.15">
      <c r="E2232" t="s">
        <v>1690</v>
      </c>
      <c r="F2232">
        <v>6</v>
      </c>
    </row>
    <row r="2233" spans="2:6" x14ac:dyDescent="0.15">
      <c r="E2233" t="s">
        <v>1691</v>
      </c>
      <c r="F2233">
        <v>7</v>
      </c>
    </row>
    <row r="2234" spans="2:6" x14ac:dyDescent="0.15">
      <c r="E2234" t="s">
        <v>972</v>
      </c>
      <c r="F2234">
        <v>9999</v>
      </c>
    </row>
    <row r="2235" spans="2:6" x14ac:dyDescent="0.15">
      <c r="E2235" t="s">
        <v>973</v>
      </c>
      <c r="F2235" t="s">
        <v>974</v>
      </c>
    </row>
    <row r="2236" spans="2:6" x14ac:dyDescent="0.15">
      <c r="E2236" t="s">
        <v>975</v>
      </c>
      <c r="F2236" t="s">
        <v>124</v>
      </c>
    </row>
    <row r="2237" spans="2:6" x14ac:dyDescent="0.15">
      <c r="B2237" t="s">
        <v>1841</v>
      </c>
      <c r="D2237" t="s">
        <v>1842</v>
      </c>
      <c r="E2237" t="s">
        <v>1685</v>
      </c>
      <c r="F2237">
        <v>1</v>
      </c>
    </row>
    <row r="2238" spans="2:6" x14ac:dyDescent="0.15">
      <c r="E2238" t="s">
        <v>1686</v>
      </c>
      <c r="F2238">
        <v>2</v>
      </c>
    </row>
    <row r="2239" spans="2:6" x14ac:dyDescent="0.15">
      <c r="E2239" t="s">
        <v>1687</v>
      </c>
      <c r="F2239">
        <v>3</v>
      </c>
    </row>
    <row r="2240" spans="2:6" x14ac:dyDescent="0.15">
      <c r="E2240" t="s">
        <v>1688</v>
      </c>
      <c r="F2240">
        <v>4</v>
      </c>
    </row>
    <row r="2241" spans="2:6" x14ac:dyDescent="0.15">
      <c r="E2241" t="s">
        <v>1689</v>
      </c>
      <c r="F2241">
        <v>5</v>
      </c>
    </row>
    <row r="2242" spans="2:6" x14ac:dyDescent="0.15">
      <c r="E2242" t="s">
        <v>1690</v>
      </c>
      <c r="F2242">
        <v>6</v>
      </c>
    </row>
    <row r="2243" spans="2:6" x14ac:dyDescent="0.15">
      <c r="E2243" t="s">
        <v>1691</v>
      </c>
      <c r="F2243">
        <v>7</v>
      </c>
    </row>
    <row r="2244" spans="2:6" x14ac:dyDescent="0.15">
      <c r="E2244" t="s">
        <v>972</v>
      </c>
      <c r="F2244">
        <v>9999</v>
      </c>
    </row>
    <row r="2245" spans="2:6" x14ac:dyDescent="0.15">
      <c r="E2245" t="s">
        <v>973</v>
      </c>
      <c r="F2245" t="s">
        <v>974</v>
      </c>
    </row>
    <row r="2246" spans="2:6" x14ac:dyDescent="0.15">
      <c r="E2246" t="s">
        <v>975</v>
      </c>
      <c r="F2246" t="s">
        <v>124</v>
      </c>
    </row>
    <row r="2247" spans="2:6" x14ac:dyDescent="0.15">
      <c r="B2247" t="s">
        <v>1843</v>
      </c>
      <c r="D2247" t="s">
        <v>1844</v>
      </c>
      <c r="E2247" t="s">
        <v>1685</v>
      </c>
      <c r="F2247">
        <v>1</v>
      </c>
    </row>
    <row r="2248" spans="2:6" x14ac:dyDescent="0.15">
      <c r="E2248" t="s">
        <v>1686</v>
      </c>
      <c r="F2248">
        <v>2</v>
      </c>
    </row>
    <row r="2249" spans="2:6" x14ac:dyDescent="0.15">
      <c r="E2249" t="s">
        <v>1687</v>
      </c>
      <c r="F2249">
        <v>3</v>
      </c>
    </row>
    <row r="2250" spans="2:6" x14ac:dyDescent="0.15">
      <c r="E2250" t="s">
        <v>1688</v>
      </c>
      <c r="F2250">
        <v>4</v>
      </c>
    </row>
    <row r="2251" spans="2:6" x14ac:dyDescent="0.15">
      <c r="E2251" t="s">
        <v>1689</v>
      </c>
      <c r="F2251">
        <v>5</v>
      </c>
    </row>
    <row r="2252" spans="2:6" x14ac:dyDescent="0.15">
      <c r="E2252" t="s">
        <v>1690</v>
      </c>
      <c r="F2252">
        <v>6</v>
      </c>
    </row>
    <row r="2253" spans="2:6" x14ac:dyDescent="0.15">
      <c r="E2253" t="s">
        <v>1691</v>
      </c>
      <c r="F2253">
        <v>7</v>
      </c>
    </row>
    <row r="2254" spans="2:6" x14ac:dyDescent="0.15">
      <c r="E2254" t="s">
        <v>972</v>
      </c>
      <c r="F2254">
        <v>9999</v>
      </c>
    </row>
    <row r="2255" spans="2:6" x14ac:dyDescent="0.15">
      <c r="E2255" t="s">
        <v>973</v>
      </c>
      <c r="F2255" t="s">
        <v>974</v>
      </c>
    </row>
    <row r="2256" spans="2:6" x14ac:dyDescent="0.15">
      <c r="E2256" t="s">
        <v>975</v>
      </c>
      <c r="F2256" t="s">
        <v>124</v>
      </c>
    </row>
    <row r="2257" spans="2:6" x14ac:dyDescent="0.15">
      <c r="B2257" t="s">
        <v>1845</v>
      </c>
      <c r="D2257" t="s">
        <v>1846</v>
      </c>
      <c r="E2257" t="s">
        <v>1847</v>
      </c>
      <c r="F2257">
        <v>1</v>
      </c>
    </row>
    <row r="2258" spans="2:6" x14ac:dyDescent="0.15">
      <c r="E2258" t="s">
        <v>1848</v>
      </c>
      <c r="F2258">
        <v>2</v>
      </c>
    </row>
    <row r="2259" spans="2:6" x14ac:dyDescent="0.15">
      <c r="E2259" t="s">
        <v>1849</v>
      </c>
      <c r="F2259">
        <v>0</v>
      </c>
    </row>
    <row r="2260" spans="2:6" x14ac:dyDescent="0.15">
      <c r="E2260" t="s">
        <v>1710</v>
      </c>
      <c r="F2260">
        <v>7</v>
      </c>
    </row>
    <row r="2261" spans="2:6" x14ac:dyDescent="0.15">
      <c r="E2261" t="s">
        <v>1711</v>
      </c>
      <c r="F2261">
        <v>8</v>
      </c>
    </row>
    <row r="2262" spans="2:6" x14ac:dyDescent="0.15">
      <c r="E2262" t="s">
        <v>1746</v>
      </c>
      <c r="F2262">
        <v>9</v>
      </c>
    </row>
    <row r="2263" spans="2:6" x14ac:dyDescent="0.15">
      <c r="E2263" t="s">
        <v>972</v>
      </c>
      <c r="F2263">
        <v>9999</v>
      </c>
    </row>
    <row r="2264" spans="2:6" x14ac:dyDescent="0.15">
      <c r="E2264" t="s">
        <v>973</v>
      </c>
      <c r="F2264" t="s">
        <v>974</v>
      </c>
    </row>
    <row r="2265" spans="2:6" x14ac:dyDescent="0.15">
      <c r="E2265" t="s">
        <v>975</v>
      </c>
      <c r="F2265" t="s">
        <v>124</v>
      </c>
    </row>
    <row r="2266" spans="2:6" x14ac:dyDescent="0.15">
      <c r="B2266" t="s">
        <v>1850</v>
      </c>
      <c r="D2266" t="s">
        <v>1851</v>
      </c>
      <c r="E2266" t="s">
        <v>1852</v>
      </c>
      <c r="F2266">
        <v>1</v>
      </c>
    </row>
    <row r="2267" spans="2:6" x14ac:dyDescent="0.15">
      <c r="E2267" t="s">
        <v>1853</v>
      </c>
      <c r="F2267">
        <v>2</v>
      </c>
    </row>
    <row r="2268" spans="2:6" x14ac:dyDescent="0.15">
      <c r="E2268" t="s">
        <v>1854</v>
      </c>
      <c r="F2268">
        <v>3</v>
      </c>
    </row>
    <row r="2269" spans="2:6" x14ac:dyDescent="0.15">
      <c r="E2269" t="s">
        <v>1855</v>
      </c>
      <c r="F2269">
        <v>4</v>
      </c>
    </row>
    <row r="2270" spans="2:6" x14ac:dyDescent="0.15">
      <c r="E2270" t="s">
        <v>1856</v>
      </c>
      <c r="F2270">
        <v>5</v>
      </c>
    </row>
    <row r="2271" spans="2:6" x14ac:dyDescent="0.15">
      <c r="E2271" t="s">
        <v>1857</v>
      </c>
      <c r="F2271">
        <v>6</v>
      </c>
    </row>
    <row r="2272" spans="2:6" x14ac:dyDescent="0.15">
      <c r="E2272" t="s">
        <v>1858</v>
      </c>
      <c r="F2272">
        <v>7</v>
      </c>
    </row>
    <row r="2273" spans="2:6" x14ac:dyDescent="0.15">
      <c r="E2273" t="s">
        <v>1859</v>
      </c>
      <c r="F2273">
        <v>8</v>
      </c>
    </row>
    <row r="2274" spans="2:6" x14ac:dyDescent="0.15">
      <c r="E2274" t="s">
        <v>1860</v>
      </c>
      <c r="F2274">
        <v>88</v>
      </c>
    </row>
    <row r="2275" spans="2:6" x14ac:dyDescent="0.15">
      <c r="E2275" t="s">
        <v>1746</v>
      </c>
      <c r="F2275">
        <v>99</v>
      </c>
    </row>
    <row r="2276" spans="2:6" x14ac:dyDescent="0.15">
      <c r="E2276" t="s">
        <v>972</v>
      </c>
      <c r="F2276">
        <v>9999</v>
      </c>
    </row>
    <row r="2277" spans="2:6" x14ac:dyDescent="0.15">
      <c r="E2277" t="s">
        <v>973</v>
      </c>
      <c r="F2277" t="s">
        <v>974</v>
      </c>
    </row>
    <row r="2278" spans="2:6" x14ac:dyDescent="0.15">
      <c r="E2278" t="s">
        <v>975</v>
      </c>
      <c r="F2278" t="s">
        <v>124</v>
      </c>
    </row>
    <row r="2279" spans="2:6" x14ac:dyDescent="0.15">
      <c r="B2279" t="s">
        <v>1861</v>
      </c>
      <c r="D2279" t="s">
        <v>1862</v>
      </c>
    </row>
    <row r="2280" spans="2:6" ht="78" x14ac:dyDescent="0.15">
      <c r="B2280" t="s">
        <v>1863</v>
      </c>
      <c r="C2280" s="16" t="s">
        <v>1864</v>
      </c>
      <c r="D2280" t="s">
        <v>1865</v>
      </c>
    </row>
    <row r="2281" spans="2:6" x14ac:dyDescent="0.15">
      <c r="B2281" t="s">
        <v>1866</v>
      </c>
      <c r="D2281" t="s">
        <v>1867</v>
      </c>
      <c r="E2281" t="s">
        <v>1685</v>
      </c>
      <c r="F2281">
        <v>1</v>
      </c>
    </row>
    <row r="2282" spans="2:6" x14ac:dyDescent="0.15">
      <c r="E2282" t="s">
        <v>1686</v>
      </c>
      <c r="F2282">
        <v>2</v>
      </c>
    </row>
    <row r="2283" spans="2:6" x14ac:dyDescent="0.15">
      <c r="E2283" t="s">
        <v>1687</v>
      </c>
      <c r="F2283">
        <v>3</v>
      </c>
    </row>
    <row r="2284" spans="2:6" x14ac:dyDescent="0.15">
      <c r="E2284" t="s">
        <v>1688</v>
      </c>
      <c r="F2284">
        <v>4</v>
      </c>
    </row>
    <row r="2285" spans="2:6" x14ac:dyDescent="0.15">
      <c r="E2285" t="s">
        <v>1689</v>
      </c>
      <c r="F2285">
        <v>5</v>
      </c>
    </row>
    <row r="2286" spans="2:6" x14ac:dyDescent="0.15">
      <c r="E2286" t="s">
        <v>1690</v>
      </c>
      <c r="F2286">
        <v>6</v>
      </c>
    </row>
    <row r="2287" spans="2:6" x14ac:dyDescent="0.15">
      <c r="E2287" t="s">
        <v>1691</v>
      </c>
      <c r="F2287">
        <v>7</v>
      </c>
    </row>
    <row r="2288" spans="2:6" x14ac:dyDescent="0.15">
      <c r="E2288" t="s">
        <v>1860</v>
      </c>
      <c r="F2288">
        <v>8</v>
      </c>
    </row>
    <row r="2289" spans="2:6" x14ac:dyDescent="0.15">
      <c r="E2289" t="s">
        <v>1765</v>
      </c>
      <c r="F2289">
        <v>9</v>
      </c>
    </row>
    <row r="2290" spans="2:6" x14ac:dyDescent="0.15">
      <c r="E2290" t="s">
        <v>972</v>
      </c>
      <c r="F2290">
        <v>9999</v>
      </c>
    </row>
    <row r="2291" spans="2:6" x14ac:dyDescent="0.15">
      <c r="E2291" t="s">
        <v>973</v>
      </c>
      <c r="F2291" t="s">
        <v>974</v>
      </c>
    </row>
    <row r="2292" spans="2:6" x14ac:dyDescent="0.15">
      <c r="E2292" t="s">
        <v>975</v>
      </c>
      <c r="F2292" t="s">
        <v>124</v>
      </c>
    </row>
    <row r="2293" spans="2:6" x14ac:dyDescent="0.15">
      <c r="B2293" t="s">
        <v>1868</v>
      </c>
      <c r="D2293" t="s">
        <v>1869</v>
      </c>
      <c r="E2293" t="s">
        <v>1685</v>
      </c>
      <c r="F2293">
        <v>1</v>
      </c>
    </row>
    <row r="2294" spans="2:6" x14ac:dyDescent="0.15">
      <c r="E2294" t="s">
        <v>1686</v>
      </c>
      <c r="F2294">
        <v>2</v>
      </c>
    </row>
    <row r="2295" spans="2:6" x14ac:dyDescent="0.15">
      <c r="E2295" t="s">
        <v>1687</v>
      </c>
      <c r="F2295">
        <v>3</v>
      </c>
    </row>
    <row r="2296" spans="2:6" x14ac:dyDescent="0.15">
      <c r="E2296" t="s">
        <v>1688</v>
      </c>
      <c r="F2296">
        <v>4</v>
      </c>
    </row>
    <row r="2297" spans="2:6" x14ac:dyDescent="0.15">
      <c r="E2297" t="s">
        <v>1689</v>
      </c>
      <c r="F2297">
        <v>5</v>
      </c>
    </row>
    <row r="2298" spans="2:6" x14ac:dyDescent="0.15">
      <c r="E2298" t="s">
        <v>1690</v>
      </c>
      <c r="F2298">
        <v>6</v>
      </c>
    </row>
    <row r="2299" spans="2:6" x14ac:dyDescent="0.15">
      <c r="E2299" t="s">
        <v>1691</v>
      </c>
      <c r="F2299">
        <v>7</v>
      </c>
    </row>
    <row r="2300" spans="2:6" x14ac:dyDescent="0.15">
      <c r="E2300" t="s">
        <v>1860</v>
      </c>
      <c r="F2300">
        <v>8</v>
      </c>
    </row>
    <row r="2301" spans="2:6" x14ac:dyDescent="0.15">
      <c r="E2301" t="s">
        <v>1765</v>
      </c>
      <c r="F2301">
        <v>9</v>
      </c>
    </row>
    <row r="2302" spans="2:6" x14ac:dyDescent="0.15">
      <c r="E2302" t="s">
        <v>972</v>
      </c>
      <c r="F2302">
        <v>9999</v>
      </c>
    </row>
    <row r="2303" spans="2:6" x14ac:dyDescent="0.15">
      <c r="E2303" t="s">
        <v>973</v>
      </c>
      <c r="F2303" t="s">
        <v>974</v>
      </c>
    </row>
    <row r="2304" spans="2:6" x14ac:dyDescent="0.15">
      <c r="E2304" t="s">
        <v>975</v>
      </c>
      <c r="F2304" t="s">
        <v>124</v>
      </c>
    </row>
    <row r="2305" spans="2:6" x14ac:dyDescent="0.15">
      <c r="B2305" t="s">
        <v>1870</v>
      </c>
      <c r="D2305" t="s">
        <v>1871</v>
      </c>
      <c r="E2305" t="s">
        <v>1685</v>
      </c>
      <c r="F2305">
        <v>1</v>
      </c>
    </row>
    <row r="2306" spans="2:6" x14ac:dyDescent="0.15">
      <c r="E2306" t="s">
        <v>1686</v>
      </c>
      <c r="F2306">
        <v>2</v>
      </c>
    </row>
    <row r="2307" spans="2:6" x14ac:dyDescent="0.15">
      <c r="E2307" t="s">
        <v>1687</v>
      </c>
      <c r="F2307">
        <v>3</v>
      </c>
    </row>
    <row r="2308" spans="2:6" x14ac:dyDescent="0.15">
      <c r="E2308" t="s">
        <v>1688</v>
      </c>
      <c r="F2308">
        <v>4</v>
      </c>
    </row>
    <row r="2309" spans="2:6" x14ac:dyDescent="0.15">
      <c r="E2309" t="s">
        <v>1689</v>
      </c>
      <c r="F2309">
        <v>5</v>
      </c>
    </row>
    <row r="2310" spans="2:6" x14ac:dyDescent="0.15">
      <c r="E2310" t="s">
        <v>1690</v>
      </c>
      <c r="F2310">
        <v>6</v>
      </c>
    </row>
    <row r="2311" spans="2:6" x14ac:dyDescent="0.15">
      <c r="E2311" t="s">
        <v>1691</v>
      </c>
      <c r="F2311">
        <v>7</v>
      </c>
    </row>
    <row r="2312" spans="2:6" x14ac:dyDescent="0.15">
      <c r="E2312" t="s">
        <v>1860</v>
      </c>
      <c r="F2312">
        <v>8</v>
      </c>
    </row>
    <row r="2313" spans="2:6" x14ac:dyDescent="0.15">
      <c r="E2313" t="s">
        <v>1765</v>
      </c>
      <c r="F2313">
        <v>9</v>
      </c>
    </row>
    <row r="2314" spans="2:6" x14ac:dyDescent="0.15">
      <c r="E2314" t="s">
        <v>972</v>
      </c>
      <c r="F2314">
        <v>9999</v>
      </c>
    </row>
    <row r="2315" spans="2:6" x14ac:dyDescent="0.15">
      <c r="E2315" t="s">
        <v>973</v>
      </c>
      <c r="F2315" t="s">
        <v>974</v>
      </c>
    </row>
    <row r="2316" spans="2:6" x14ac:dyDescent="0.15">
      <c r="E2316" t="s">
        <v>975</v>
      </c>
      <c r="F2316" t="s">
        <v>124</v>
      </c>
    </row>
    <row r="2317" spans="2:6" x14ac:dyDescent="0.15">
      <c r="B2317" t="s">
        <v>1872</v>
      </c>
      <c r="D2317" t="s">
        <v>1873</v>
      </c>
      <c r="E2317" t="s">
        <v>1001</v>
      </c>
      <c r="F2317">
        <v>0</v>
      </c>
    </row>
    <row r="2318" spans="2:6" x14ac:dyDescent="0.15">
      <c r="E2318" t="s">
        <v>1002</v>
      </c>
      <c r="F2318">
        <v>1</v>
      </c>
    </row>
    <row r="2319" spans="2:6" x14ac:dyDescent="0.15">
      <c r="E2319" t="s">
        <v>1746</v>
      </c>
      <c r="F2319">
        <v>9</v>
      </c>
    </row>
    <row r="2320" spans="2:6" x14ac:dyDescent="0.15">
      <c r="E2320" t="s">
        <v>972</v>
      </c>
      <c r="F2320">
        <v>9999</v>
      </c>
    </row>
    <row r="2321" spans="2:6" x14ac:dyDescent="0.15">
      <c r="E2321" t="s">
        <v>973</v>
      </c>
      <c r="F2321" t="s">
        <v>974</v>
      </c>
    </row>
    <row r="2322" spans="2:6" x14ac:dyDescent="0.15">
      <c r="E2322" t="s">
        <v>975</v>
      </c>
      <c r="F2322" t="s">
        <v>124</v>
      </c>
    </row>
    <row r="2323" spans="2:6" x14ac:dyDescent="0.15">
      <c r="B2323" t="s">
        <v>1874</v>
      </c>
      <c r="D2323" t="s">
        <v>1875</v>
      </c>
      <c r="E2323" t="s">
        <v>1001</v>
      </c>
      <c r="F2323">
        <v>0</v>
      </c>
    </row>
    <row r="2324" spans="2:6" x14ac:dyDescent="0.15">
      <c r="E2324" t="s">
        <v>1002</v>
      </c>
      <c r="F2324">
        <v>1</v>
      </c>
    </row>
    <row r="2325" spans="2:6" x14ac:dyDescent="0.15">
      <c r="E2325" t="s">
        <v>1746</v>
      </c>
      <c r="F2325">
        <v>9</v>
      </c>
    </row>
    <row r="2326" spans="2:6" x14ac:dyDescent="0.15">
      <c r="E2326" t="s">
        <v>972</v>
      </c>
      <c r="F2326">
        <v>9999</v>
      </c>
    </row>
    <row r="2327" spans="2:6" x14ac:dyDescent="0.15">
      <c r="E2327" t="s">
        <v>973</v>
      </c>
      <c r="F2327" t="s">
        <v>974</v>
      </c>
    </row>
    <row r="2328" spans="2:6" x14ac:dyDescent="0.15">
      <c r="E2328" t="s">
        <v>975</v>
      </c>
      <c r="F2328" t="s">
        <v>124</v>
      </c>
    </row>
    <row r="2329" spans="2:6" x14ac:dyDescent="0.15">
      <c r="B2329" t="s">
        <v>1876</v>
      </c>
      <c r="D2329" t="s">
        <v>1877</v>
      </c>
      <c r="E2329" t="s">
        <v>1001</v>
      </c>
      <c r="F2329">
        <v>0</v>
      </c>
    </row>
    <row r="2330" spans="2:6" x14ac:dyDescent="0.15">
      <c r="E2330" t="s">
        <v>1002</v>
      </c>
      <c r="F2330">
        <v>1</v>
      </c>
    </row>
    <row r="2331" spans="2:6" x14ac:dyDescent="0.15">
      <c r="E2331" t="s">
        <v>972</v>
      </c>
      <c r="F2331">
        <v>9999</v>
      </c>
    </row>
    <row r="2332" spans="2:6" x14ac:dyDescent="0.15">
      <c r="E2332" t="s">
        <v>973</v>
      </c>
      <c r="F2332" t="s">
        <v>974</v>
      </c>
    </row>
    <row r="2333" spans="2:6" x14ac:dyDescent="0.15">
      <c r="E2333" t="s">
        <v>975</v>
      </c>
      <c r="F2333" t="s">
        <v>124</v>
      </c>
    </row>
    <row r="2334" spans="2:6" x14ac:dyDescent="0.15">
      <c r="B2334" t="s">
        <v>1878</v>
      </c>
      <c r="D2334" t="s">
        <v>1879</v>
      </c>
      <c r="E2334" t="s">
        <v>1685</v>
      </c>
      <c r="F2334">
        <v>1</v>
      </c>
    </row>
    <row r="2335" spans="2:6" x14ac:dyDescent="0.15">
      <c r="E2335" t="s">
        <v>1686</v>
      </c>
      <c r="F2335">
        <v>2</v>
      </c>
    </row>
    <row r="2336" spans="2:6" x14ac:dyDescent="0.15">
      <c r="E2336" t="s">
        <v>1687</v>
      </c>
      <c r="F2336">
        <v>3</v>
      </c>
    </row>
    <row r="2337" spans="2:6" x14ac:dyDescent="0.15">
      <c r="E2337" t="s">
        <v>1688</v>
      </c>
      <c r="F2337">
        <v>4</v>
      </c>
    </row>
    <row r="2338" spans="2:6" x14ac:dyDescent="0.15">
      <c r="E2338" t="s">
        <v>1689</v>
      </c>
      <c r="F2338">
        <v>5</v>
      </c>
    </row>
    <row r="2339" spans="2:6" x14ac:dyDescent="0.15">
      <c r="E2339" t="s">
        <v>1690</v>
      </c>
      <c r="F2339">
        <v>6</v>
      </c>
    </row>
    <row r="2340" spans="2:6" x14ac:dyDescent="0.15">
      <c r="E2340" t="s">
        <v>1691</v>
      </c>
      <c r="F2340">
        <v>7</v>
      </c>
    </row>
    <row r="2341" spans="2:6" x14ac:dyDescent="0.15">
      <c r="E2341" t="s">
        <v>972</v>
      </c>
      <c r="F2341">
        <v>9999</v>
      </c>
    </row>
    <row r="2342" spans="2:6" x14ac:dyDescent="0.15">
      <c r="E2342" t="s">
        <v>973</v>
      </c>
      <c r="F2342" t="s">
        <v>974</v>
      </c>
    </row>
    <row r="2343" spans="2:6" x14ac:dyDescent="0.15">
      <c r="E2343" t="s">
        <v>975</v>
      </c>
      <c r="F2343" t="s">
        <v>124</v>
      </c>
    </row>
    <row r="2344" spans="2:6" x14ac:dyDescent="0.15">
      <c r="B2344" t="s">
        <v>1880</v>
      </c>
      <c r="D2344" t="s">
        <v>1881</v>
      </c>
      <c r="E2344" t="s">
        <v>1685</v>
      </c>
      <c r="F2344">
        <v>1</v>
      </c>
    </row>
    <row r="2345" spans="2:6" x14ac:dyDescent="0.15">
      <c r="E2345" t="s">
        <v>1686</v>
      </c>
      <c r="F2345">
        <v>2</v>
      </c>
    </row>
    <row r="2346" spans="2:6" x14ac:dyDescent="0.15">
      <c r="E2346" t="s">
        <v>1687</v>
      </c>
      <c r="F2346">
        <v>3</v>
      </c>
    </row>
    <row r="2347" spans="2:6" x14ac:dyDescent="0.15">
      <c r="E2347" t="s">
        <v>1688</v>
      </c>
      <c r="F2347">
        <v>4</v>
      </c>
    </row>
    <row r="2348" spans="2:6" x14ac:dyDescent="0.15">
      <c r="E2348" t="s">
        <v>1689</v>
      </c>
      <c r="F2348">
        <v>5</v>
      </c>
    </row>
    <row r="2349" spans="2:6" x14ac:dyDescent="0.15">
      <c r="E2349" t="s">
        <v>1690</v>
      </c>
      <c r="F2349">
        <v>6</v>
      </c>
    </row>
    <row r="2350" spans="2:6" x14ac:dyDescent="0.15">
      <c r="E2350" t="s">
        <v>1691</v>
      </c>
      <c r="F2350">
        <v>7</v>
      </c>
    </row>
    <row r="2351" spans="2:6" x14ac:dyDescent="0.15">
      <c r="E2351" t="s">
        <v>972</v>
      </c>
      <c r="F2351">
        <v>9999</v>
      </c>
    </row>
    <row r="2352" spans="2:6" x14ac:dyDescent="0.15">
      <c r="E2352" t="s">
        <v>973</v>
      </c>
      <c r="F2352" t="s">
        <v>974</v>
      </c>
    </row>
    <row r="2353" spans="2:6" x14ac:dyDescent="0.15">
      <c r="E2353" t="s">
        <v>975</v>
      </c>
      <c r="F2353" t="s">
        <v>124</v>
      </c>
    </row>
    <row r="2354" spans="2:6" x14ac:dyDescent="0.15">
      <c r="B2354" t="s">
        <v>1882</v>
      </c>
      <c r="D2354" t="s">
        <v>1883</v>
      </c>
      <c r="E2354" t="s">
        <v>1685</v>
      </c>
      <c r="F2354">
        <v>1</v>
      </c>
    </row>
    <row r="2355" spans="2:6" x14ac:dyDescent="0.15">
      <c r="E2355" t="s">
        <v>1686</v>
      </c>
      <c r="F2355">
        <v>2</v>
      </c>
    </row>
    <row r="2356" spans="2:6" x14ac:dyDescent="0.15">
      <c r="E2356" t="s">
        <v>1687</v>
      </c>
      <c r="F2356">
        <v>3</v>
      </c>
    </row>
    <row r="2357" spans="2:6" x14ac:dyDescent="0.15">
      <c r="E2357" t="s">
        <v>1688</v>
      </c>
      <c r="F2357">
        <v>4</v>
      </c>
    </row>
    <row r="2358" spans="2:6" x14ac:dyDescent="0.15">
      <c r="E2358" t="s">
        <v>1689</v>
      </c>
      <c r="F2358">
        <v>5</v>
      </c>
    </row>
    <row r="2359" spans="2:6" x14ac:dyDescent="0.15">
      <c r="E2359" t="s">
        <v>1690</v>
      </c>
      <c r="F2359">
        <v>6</v>
      </c>
    </row>
    <row r="2360" spans="2:6" x14ac:dyDescent="0.15">
      <c r="E2360" t="s">
        <v>1691</v>
      </c>
      <c r="F2360">
        <v>7</v>
      </c>
    </row>
    <row r="2361" spans="2:6" x14ac:dyDescent="0.15">
      <c r="E2361" t="s">
        <v>972</v>
      </c>
      <c r="F2361">
        <v>9999</v>
      </c>
    </row>
    <row r="2362" spans="2:6" x14ac:dyDescent="0.15">
      <c r="E2362" t="s">
        <v>973</v>
      </c>
      <c r="F2362" t="s">
        <v>974</v>
      </c>
    </row>
    <row r="2363" spans="2:6" x14ac:dyDescent="0.15">
      <c r="E2363" t="s">
        <v>975</v>
      </c>
      <c r="F2363" t="s">
        <v>124</v>
      </c>
    </row>
    <row r="2364" spans="2:6" x14ac:dyDescent="0.15">
      <c r="B2364" t="s">
        <v>1884</v>
      </c>
      <c r="D2364" t="s">
        <v>1885</v>
      </c>
      <c r="E2364" t="s">
        <v>1742</v>
      </c>
      <c r="F2364">
        <v>1</v>
      </c>
    </row>
    <row r="2365" spans="2:6" x14ac:dyDescent="0.15">
      <c r="E2365" t="s">
        <v>1886</v>
      </c>
      <c r="F2365">
        <v>2</v>
      </c>
    </row>
    <row r="2366" spans="2:6" x14ac:dyDescent="0.15">
      <c r="E2366" t="s">
        <v>1743</v>
      </c>
      <c r="F2366">
        <v>3</v>
      </c>
    </row>
    <row r="2367" spans="2:6" x14ac:dyDescent="0.15">
      <c r="E2367" t="s">
        <v>1744</v>
      </c>
      <c r="F2367">
        <v>4</v>
      </c>
    </row>
    <row r="2368" spans="2:6" x14ac:dyDescent="0.15">
      <c r="E2368" t="s">
        <v>1745</v>
      </c>
      <c r="F2368">
        <v>5</v>
      </c>
    </row>
    <row r="2369" spans="2:6" x14ac:dyDescent="0.15">
      <c r="E2369" t="s">
        <v>1746</v>
      </c>
      <c r="F2369">
        <v>9</v>
      </c>
    </row>
    <row r="2370" spans="2:6" x14ac:dyDescent="0.15">
      <c r="E2370" t="s">
        <v>972</v>
      </c>
      <c r="F2370">
        <v>9999</v>
      </c>
    </row>
    <row r="2371" spans="2:6" x14ac:dyDescent="0.15">
      <c r="E2371" t="s">
        <v>973</v>
      </c>
      <c r="F2371" t="s">
        <v>974</v>
      </c>
    </row>
    <row r="2372" spans="2:6" x14ac:dyDescent="0.15">
      <c r="E2372" t="s">
        <v>975</v>
      </c>
      <c r="F2372" t="s">
        <v>124</v>
      </c>
    </row>
    <row r="2373" spans="2:6" x14ac:dyDescent="0.15">
      <c r="B2373" t="s">
        <v>1887</v>
      </c>
      <c r="D2373" t="s">
        <v>1888</v>
      </c>
      <c r="E2373" t="s">
        <v>1685</v>
      </c>
      <c r="F2373">
        <v>1</v>
      </c>
    </row>
    <row r="2374" spans="2:6" x14ac:dyDescent="0.15">
      <c r="E2374" t="s">
        <v>1686</v>
      </c>
      <c r="F2374">
        <v>2</v>
      </c>
    </row>
    <row r="2375" spans="2:6" x14ac:dyDescent="0.15">
      <c r="E2375" t="s">
        <v>1687</v>
      </c>
      <c r="F2375">
        <v>3</v>
      </c>
    </row>
    <row r="2376" spans="2:6" x14ac:dyDescent="0.15">
      <c r="E2376" t="s">
        <v>1688</v>
      </c>
      <c r="F2376">
        <v>4</v>
      </c>
    </row>
    <row r="2377" spans="2:6" x14ac:dyDescent="0.15">
      <c r="E2377" t="s">
        <v>1689</v>
      </c>
      <c r="F2377">
        <v>5</v>
      </c>
    </row>
    <row r="2378" spans="2:6" x14ac:dyDescent="0.15">
      <c r="E2378" t="s">
        <v>1690</v>
      </c>
      <c r="F2378">
        <v>6</v>
      </c>
    </row>
    <row r="2379" spans="2:6" x14ac:dyDescent="0.15">
      <c r="E2379" t="s">
        <v>1691</v>
      </c>
      <c r="F2379">
        <v>7</v>
      </c>
    </row>
    <row r="2380" spans="2:6" x14ac:dyDescent="0.15">
      <c r="E2380" t="s">
        <v>972</v>
      </c>
      <c r="F2380">
        <v>9999</v>
      </c>
    </row>
    <row r="2381" spans="2:6" x14ac:dyDescent="0.15">
      <c r="E2381" t="s">
        <v>973</v>
      </c>
      <c r="F2381" t="s">
        <v>974</v>
      </c>
    </row>
    <row r="2382" spans="2:6" x14ac:dyDescent="0.15">
      <c r="E2382" t="s">
        <v>975</v>
      </c>
      <c r="F2382" t="s">
        <v>124</v>
      </c>
    </row>
    <row r="2383" spans="2:6" x14ac:dyDescent="0.15">
      <c r="B2383" t="s">
        <v>1889</v>
      </c>
      <c r="D2383" t="s">
        <v>1890</v>
      </c>
      <c r="E2383" t="s">
        <v>1685</v>
      </c>
      <c r="F2383">
        <v>1</v>
      </c>
    </row>
    <row r="2384" spans="2:6" x14ac:dyDescent="0.15">
      <c r="E2384" t="s">
        <v>1686</v>
      </c>
      <c r="F2384">
        <v>2</v>
      </c>
    </row>
    <row r="2385" spans="2:6" x14ac:dyDescent="0.15">
      <c r="E2385" t="s">
        <v>1687</v>
      </c>
      <c r="F2385">
        <v>3</v>
      </c>
    </row>
    <row r="2386" spans="2:6" x14ac:dyDescent="0.15">
      <c r="E2386" t="s">
        <v>1688</v>
      </c>
      <c r="F2386">
        <v>4</v>
      </c>
    </row>
    <row r="2387" spans="2:6" x14ac:dyDescent="0.15">
      <c r="E2387" t="s">
        <v>1689</v>
      </c>
      <c r="F2387">
        <v>5</v>
      </c>
    </row>
    <row r="2388" spans="2:6" x14ac:dyDescent="0.15">
      <c r="E2388" t="s">
        <v>1690</v>
      </c>
      <c r="F2388">
        <v>6</v>
      </c>
    </row>
    <row r="2389" spans="2:6" x14ac:dyDescent="0.15">
      <c r="E2389" t="s">
        <v>1691</v>
      </c>
      <c r="F2389">
        <v>7</v>
      </c>
    </row>
    <row r="2390" spans="2:6" x14ac:dyDescent="0.15">
      <c r="E2390" t="s">
        <v>972</v>
      </c>
      <c r="F2390">
        <v>9999</v>
      </c>
    </row>
    <row r="2391" spans="2:6" x14ac:dyDescent="0.15">
      <c r="E2391" t="s">
        <v>973</v>
      </c>
      <c r="F2391" t="s">
        <v>974</v>
      </c>
    </row>
    <row r="2392" spans="2:6" x14ac:dyDescent="0.15">
      <c r="E2392" t="s">
        <v>975</v>
      </c>
      <c r="F2392" t="s">
        <v>124</v>
      </c>
    </row>
    <row r="2393" spans="2:6" x14ac:dyDescent="0.15">
      <c r="B2393" t="s">
        <v>1891</v>
      </c>
      <c r="D2393" t="s">
        <v>1892</v>
      </c>
      <c r="E2393" t="s">
        <v>1685</v>
      </c>
      <c r="F2393">
        <v>1</v>
      </c>
    </row>
    <row r="2394" spans="2:6" x14ac:dyDescent="0.15">
      <c r="E2394" t="s">
        <v>1686</v>
      </c>
      <c r="F2394">
        <v>2</v>
      </c>
    </row>
    <row r="2395" spans="2:6" x14ac:dyDescent="0.15">
      <c r="E2395" t="s">
        <v>1687</v>
      </c>
      <c r="F2395">
        <v>3</v>
      </c>
    </row>
    <row r="2396" spans="2:6" x14ac:dyDescent="0.15">
      <c r="E2396" t="s">
        <v>1688</v>
      </c>
      <c r="F2396">
        <v>4</v>
      </c>
    </row>
    <row r="2397" spans="2:6" x14ac:dyDescent="0.15">
      <c r="E2397" t="s">
        <v>1689</v>
      </c>
      <c r="F2397">
        <v>5</v>
      </c>
    </row>
    <row r="2398" spans="2:6" x14ac:dyDescent="0.15">
      <c r="E2398" t="s">
        <v>1690</v>
      </c>
      <c r="F2398">
        <v>6</v>
      </c>
    </row>
    <row r="2399" spans="2:6" x14ac:dyDescent="0.15">
      <c r="E2399" t="s">
        <v>1691</v>
      </c>
      <c r="F2399">
        <v>7</v>
      </c>
    </row>
    <row r="2400" spans="2:6" x14ac:dyDescent="0.15">
      <c r="E2400" t="s">
        <v>972</v>
      </c>
      <c r="F2400">
        <v>9999</v>
      </c>
    </row>
    <row r="2401" spans="1:6" x14ac:dyDescent="0.15">
      <c r="E2401" t="s">
        <v>973</v>
      </c>
      <c r="F2401" t="s">
        <v>974</v>
      </c>
    </row>
    <row r="2402" spans="1:6" x14ac:dyDescent="0.15">
      <c r="E2402" t="s">
        <v>975</v>
      </c>
      <c r="F2402" t="s">
        <v>124</v>
      </c>
    </row>
    <row r="2403" spans="1:6" x14ac:dyDescent="0.15">
      <c r="B2403" t="s">
        <v>1683</v>
      </c>
      <c r="D2403" t="s">
        <v>1893</v>
      </c>
      <c r="E2403" t="s">
        <v>1685</v>
      </c>
      <c r="F2403">
        <v>1</v>
      </c>
    </row>
    <row r="2404" spans="1:6" x14ac:dyDescent="0.15">
      <c r="E2404" t="s">
        <v>1686</v>
      </c>
      <c r="F2404">
        <v>2</v>
      </c>
    </row>
    <row r="2405" spans="1:6" x14ac:dyDescent="0.15">
      <c r="E2405" t="s">
        <v>1687</v>
      </c>
      <c r="F2405">
        <v>3</v>
      </c>
    </row>
    <row r="2406" spans="1:6" x14ac:dyDescent="0.15">
      <c r="E2406" t="s">
        <v>1688</v>
      </c>
      <c r="F2406">
        <v>4</v>
      </c>
    </row>
    <row r="2407" spans="1:6" x14ac:dyDescent="0.15">
      <c r="E2407" t="s">
        <v>1689</v>
      </c>
      <c r="F2407">
        <v>5</v>
      </c>
    </row>
    <row r="2408" spans="1:6" x14ac:dyDescent="0.15">
      <c r="E2408" t="s">
        <v>1690</v>
      </c>
      <c r="F2408">
        <v>6</v>
      </c>
    </row>
    <row r="2409" spans="1:6" x14ac:dyDescent="0.15">
      <c r="E2409" t="s">
        <v>1691</v>
      </c>
      <c r="F2409">
        <v>7</v>
      </c>
    </row>
    <row r="2410" spans="1:6" x14ac:dyDescent="0.15">
      <c r="E2410" t="s">
        <v>972</v>
      </c>
      <c r="F2410">
        <v>9999</v>
      </c>
    </row>
    <row r="2411" spans="1:6" x14ac:dyDescent="0.15">
      <c r="E2411" t="s">
        <v>973</v>
      </c>
      <c r="F2411" t="s">
        <v>974</v>
      </c>
    </row>
    <row r="2412" spans="1:6" x14ac:dyDescent="0.15">
      <c r="E2412" t="s">
        <v>975</v>
      </c>
      <c r="F2412" t="s">
        <v>124</v>
      </c>
    </row>
    <row r="2413" spans="1:6" x14ac:dyDescent="0.15">
      <c r="A2413" t="s">
        <v>1894</v>
      </c>
    </row>
    <row r="2414" spans="1:6" x14ac:dyDescent="0.15">
      <c r="A2414" t="s">
        <v>1895</v>
      </c>
      <c r="B2414" t="s">
        <v>1896</v>
      </c>
      <c r="C2414" t="s">
        <v>1897</v>
      </c>
      <c r="D2414" t="s">
        <v>1898</v>
      </c>
      <c r="E2414" t="s">
        <v>1016</v>
      </c>
      <c r="F2414">
        <v>1</v>
      </c>
    </row>
    <row r="2415" spans="1:6" x14ac:dyDescent="0.15">
      <c r="E2415" t="s">
        <v>1899</v>
      </c>
      <c r="F2415">
        <v>2</v>
      </c>
    </row>
    <row r="2416" spans="1:6" x14ac:dyDescent="0.15">
      <c r="E2416" t="s">
        <v>1900</v>
      </c>
      <c r="F2416">
        <v>3</v>
      </c>
    </row>
    <row r="2417" spans="2:6" x14ac:dyDescent="0.15">
      <c r="E2417" t="s">
        <v>1901</v>
      </c>
      <c r="F2417">
        <v>4</v>
      </c>
    </row>
    <row r="2418" spans="2:6" x14ac:dyDescent="0.15">
      <c r="E2418" t="s">
        <v>1902</v>
      </c>
      <c r="F2418">
        <v>5</v>
      </c>
    </row>
    <row r="2419" spans="2:6" x14ac:dyDescent="0.15">
      <c r="E2419" t="s">
        <v>1903</v>
      </c>
      <c r="F2419">
        <v>9</v>
      </c>
    </row>
    <row r="2420" spans="2:6" x14ac:dyDescent="0.15">
      <c r="E2420" t="s">
        <v>972</v>
      </c>
      <c r="F2420">
        <v>9999</v>
      </c>
    </row>
    <row r="2421" spans="2:6" x14ac:dyDescent="0.15">
      <c r="E2421" t="s">
        <v>973</v>
      </c>
      <c r="F2421" t="s">
        <v>974</v>
      </c>
    </row>
    <row r="2422" spans="2:6" x14ac:dyDescent="0.15">
      <c r="E2422" t="s">
        <v>975</v>
      </c>
      <c r="F2422" t="s">
        <v>124</v>
      </c>
    </row>
    <row r="2423" spans="2:6" x14ac:dyDescent="0.15">
      <c r="B2423" t="s">
        <v>1904</v>
      </c>
      <c r="C2423" t="s">
        <v>1905</v>
      </c>
      <c r="D2423" t="s">
        <v>1906</v>
      </c>
      <c r="E2423" t="s">
        <v>1907</v>
      </c>
      <c r="F2423">
        <v>1</v>
      </c>
    </row>
    <row r="2424" spans="2:6" x14ac:dyDescent="0.15">
      <c r="E2424" t="s">
        <v>1908</v>
      </c>
      <c r="F2424">
        <v>2</v>
      </c>
    </row>
    <row r="2425" spans="2:6" x14ac:dyDescent="0.15">
      <c r="E2425" t="s">
        <v>1909</v>
      </c>
      <c r="F2425">
        <v>3</v>
      </c>
    </row>
    <row r="2426" spans="2:6" x14ac:dyDescent="0.15">
      <c r="E2426" t="s">
        <v>1910</v>
      </c>
      <c r="F2426">
        <v>4</v>
      </c>
    </row>
    <row r="2427" spans="2:6" x14ac:dyDescent="0.15">
      <c r="E2427" t="s">
        <v>1911</v>
      </c>
      <c r="F2427">
        <v>5</v>
      </c>
    </row>
    <row r="2428" spans="2:6" x14ac:dyDescent="0.15">
      <c r="E2428" t="s">
        <v>1903</v>
      </c>
      <c r="F2428">
        <v>9</v>
      </c>
    </row>
    <row r="2429" spans="2:6" x14ac:dyDescent="0.15">
      <c r="E2429" t="s">
        <v>972</v>
      </c>
      <c r="F2429">
        <v>9999</v>
      </c>
    </row>
    <row r="2430" spans="2:6" x14ac:dyDescent="0.15">
      <c r="E2430" t="s">
        <v>973</v>
      </c>
      <c r="F2430" t="s">
        <v>974</v>
      </c>
    </row>
    <row r="2431" spans="2:6" x14ac:dyDescent="0.15">
      <c r="E2431" t="s">
        <v>975</v>
      </c>
      <c r="F2431" t="s">
        <v>124</v>
      </c>
    </row>
    <row r="2432" spans="2:6" x14ac:dyDescent="0.15">
      <c r="B2432" t="s">
        <v>1912</v>
      </c>
      <c r="C2432" s="17" t="s">
        <v>1913</v>
      </c>
      <c r="D2432" t="s">
        <v>1914</v>
      </c>
      <c r="E2432" t="s">
        <v>1016</v>
      </c>
      <c r="F2432">
        <v>1</v>
      </c>
    </row>
    <row r="2433" spans="2:6" x14ac:dyDescent="0.15">
      <c r="E2433" t="s">
        <v>1915</v>
      </c>
      <c r="F2433">
        <v>2</v>
      </c>
    </row>
    <row r="2434" spans="2:6" x14ac:dyDescent="0.15">
      <c r="E2434" t="s">
        <v>1916</v>
      </c>
      <c r="F2434">
        <v>3</v>
      </c>
    </row>
    <row r="2435" spans="2:6" x14ac:dyDescent="0.15">
      <c r="E2435" t="s">
        <v>1917</v>
      </c>
      <c r="F2435">
        <v>4</v>
      </c>
    </row>
    <row r="2436" spans="2:6" x14ac:dyDescent="0.15">
      <c r="E2436" t="s">
        <v>1918</v>
      </c>
      <c r="F2436">
        <v>5</v>
      </c>
    </row>
    <row r="2437" spans="2:6" x14ac:dyDescent="0.15">
      <c r="E2437" t="s">
        <v>1903</v>
      </c>
      <c r="F2437">
        <v>9</v>
      </c>
    </row>
    <row r="2438" spans="2:6" x14ac:dyDescent="0.15">
      <c r="E2438" t="s">
        <v>972</v>
      </c>
      <c r="F2438">
        <v>9999</v>
      </c>
    </row>
    <row r="2439" spans="2:6" x14ac:dyDescent="0.15">
      <c r="E2439" t="s">
        <v>973</v>
      </c>
      <c r="F2439" t="s">
        <v>974</v>
      </c>
    </row>
    <row r="2440" spans="2:6" x14ac:dyDescent="0.15">
      <c r="E2440" t="s">
        <v>975</v>
      </c>
      <c r="F2440" t="s">
        <v>124</v>
      </c>
    </row>
    <row r="2441" spans="2:6" x14ac:dyDescent="0.15">
      <c r="B2441" t="s">
        <v>1919</v>
      </c>
      <c r="C2441" t="s">
        <v>1920</v>
      </c>
      <c r="D2441" t="s">
        <v>1921</v>
      </c>
      <c r="E2441" t="s">
        <v>1016</v>
      </c>
      <c r="F2441">
        <v>1</v>
      </c>
    </row>
    <row r="2442" spans="2:6" x14ac:dyDescent="0.15">
      <c r="E2442" t="s">
        <v>1915</v>
      </c>
      <c r="F2442">
        <v>2</v>
      </c>
    </row>
    <row r="2443" spans="2:6" x14ac:dyDescent="0.15">
      <c r="E2443" t="s">
        <v>1916</v>
      </c>
      <c r="F2443">
        <v>3</v>
      </c>
    </row>
    <row r="2444" spans="2:6" x14ac:dyDescent="0.15">
      <c r="E2444" t="s">
        <v>1917</v>
      </c>
      <c r="F2444">
        <v>4</v>
      </c>
    </row>
    <row r="2445" spans="2:6" x14ac:dyDescent="0.15">
      <c r="E2445" t="s">
        <v>1922</v>
      </c>
      <c r="F2445">
        <v>5</v>
      </c>
    </row>
    <row r="2446" spans="2:6" x14ac:dyDescent="0.15">
      <c r="E2446" t="s">
        <v>1903</v>
      </c>
      <c r="F2446">
        <v>9</v>
      </c>
    </row>
    <row r="2447" spans="2:6" x14ac:dyDescent="0.15">
      <c r="E2447" t="s">
        <v>972</v>
      </c>
      <c r="F2447">
        <v>9999</v>
      </c>
    </row>
    <row r="2448" spans="2:6" x14ac:dyDescent="0.15">
      <c r="E2448" t="s">
        <v>973</v>
      </c>
      <c r="F2448" t="s">
        <v>974</v>
      </c>
    </row>
    <row r="2449" spans="2:6" x14ac:dyDescent="0.15">
      <c r="E2449" t="s">
        <v>975</v>
      </c>
      <c r="F2449" t="s">
        <v>124</v>
      </c>
    </row>
    <row r="2450" spans="2:6" x14ac:dyDescent="0.15">
      <c r="B2450" t="s">
        <v>1923</v>
      </c>
      <c r="C2450" t="s">
        <v>1924</v>
      </c>
      <c r="D2450" t="s">
        <v>1925</v>
      </c>
      <c r="E2450" t="s">
        <v>1016</v>
      </c>
      <c r="F2450">
        <v>1</v>
      </c>
    </row>
    <row r="2451" spans="2:6" x14ac:dyDescent="0.15">
      <c r="E2451" t="s">
        <v>1001</v>
      </c>
      <c r="F2451">
        <v>0</v>
      </c>
    </row>
    <row r="2452" spans="2:6" x14ac:dyDescent="0.15">
      <c r="E2452" t="s">
        <v>1915</v>
      </c>
      <c r="F2452">
        <v>2</v>
      </c>
    </row>
    <row r="2453" spans="2:6" x14ac:dyDescent="0.15">
      <c r="E2453" t="s">
        <v>1002</v>
      </c>
      <c r="F2453">
        <v>1</v>
      </c>
    </row>
    <row r="2454" spans="2:6" x14ac:dyDescent="0.15">
      <c r="E2454" t="s">
        <v>1916</v>
      </c>
      <c r="F2454">
        <v>3</v>
      </c>
    </row>
    <row r="2455" spans="2:6" x14ac:dyDescent="0.15">
      <c r="E2455" t="s">
        <v>1917</v>
      </c>
      <c r="F2455">
        <v>4</v>
      </c>
    </row>
    <row r="2456" spans="2:6" x14ac:dyDescent="0.15">
      <c r="E2456" t="s">
        <v>1926</v>
      </c>
      <c r="F2456">
        <v>5</v>
      </c>
    </row>
    <row r="2457" spans="2:6" x14ac:dyDescent="0.15">
      <c r="E2457" t="s">
        <v>1903</v>
      </c>
      <c r="F2457">
        <v>9</v>
      </c>
    </row>
    <row r="2458" spans="2:6" x14ac:dyDescent="0.15">
      <c r="E2458" t="s">
        <v>972</v>
      </c>
      <c r="F2458">
        <v>9999</v>
      </c>
    </row>
    <row r="2459" spans="2:6" x14ac:dyDescent="0.15">
      <c r="E2459" t="s">
        <v>973</v>
      </c>
      <c r="F2459" t="s">
        <v>974</v>
      </c>
    </row>
    <row r="2460" spans="2:6" x14ac:dyDescent="0.15">
      <c r="E2460" t="s">
        <v>975</v>
      </c>
      <c r="F2460" t="s">
        <v>124</v>
      </c>
    </row>
    <row r="2461" spans="2:6" x14ac:dyDescent="0.15">
      <c r="B2461" t="s">
        <v>1927</v>
      </c>
      <c r="C2461" s="17" t="s">
        <v>1928</v>
      </c>
      <c r="D2461" t="s">
        <v>1929</v>
      </c>
      <c r="E2461" t="s">
        <v>1930</v>
      </c>
      <c r="F2461">
        <v>1</v>
      </c>
    </row>
    <row r="2462" spans="2:6" x14ac:dyDescent="0.15">
      <c r="E2462" t="s">
        <v>1001</v>
      </c>
      <c r="F2462">
        <v>0</v>
      </c>
    </row>
    <row r="2463" spans="2:6" x14ac:dyDescent="0.15">
      <c r="E2463" t="s">
        <v>1002</v>
      </c>
      <c r="F2463">
        <v>1</v>
      </c>
    </row>
    <row r="2464" spans="2:6" x14ac:dyDescent="0.15">
      <c r="E2464" t="s">
        <v>1931</v>
      </c>
      <c r="F2464">
        <v>2</v>
      </c>
    </row>
    <row r="2465" spans="2:6" x14ac:dyDescent="0.15">
      <c r="E2465" t="s">
        <v>1932</v>
      </c>
      <c r="F2465">
        <v>3</v>
      </c>
    </row>
    <row r="2466" spans="2:6" x14ac:dyDescent="0.15">
      <c r="E2466" t="s">
        <v>1933</v>
      </c>
      <c r="F2466">
        <v>4</v>
      </c>
    </row>
    <row r="2467" spans="2:6" x14ac:dyDescent="0.15">
      <c r="E2467" t="s">
        <v>1934</v>
      </c>
      <c r="F2467">
        <v>5</v>
      </c>
    </row>
    <row r="2468" spans="2:6" x14ac:dyDescent="0.15">
      <c r="E2468" t="s">
        <v>1903</v>
      </c>
      <c r="F2468">
        <v>9</v>
      </c>
    </row>
    <row r="2469" spans="2:6" x14ac:dyDescent="0.15">
      <c r="E2469" t="s">
        <v>972</v>
      </c>
      <c r="F2469">
        <v>9999</v>
      </c>
    </row>
    <row r="2470" spans="2:6" x14ac:dyDescent="0.15">
      <c r="E2470" t="s">
        <v>973</v>
      </c>
      <c r="F2470" t="s">
        <v>974</v>
      </c>
    </row>
    <row r="2471" spans="2:6" x14ac:dyDescent="0.15">
      <c r="E2471" t="s">
        <v>975</v>
      </c>
      <c r="F2471" t="s">
        <v>124</v>
      </c>
    </row>
    <row r="2472" spans="2:6" x14ac:dyDescent="0.15">
      <c r="B2472" t="s">
        <v>1935</v>
      </c>
      <c r="C2472" t="s">
        <v>1936</v>
      </c>
      <c r="D2472" t="s">
        <v>1937</v>
      </c>
      <c r="E2472" t="s">
        <v>1001</v>
      </c>
      <c r="F2472">
        <v>0</v>
      </c>
    </row>
    <row r="2473" spans="2:6" x14ac:dyDescent="0.15">
      <c r="E2473" t="s">
        <v>1938</v>
      </c>
      <c r="F2473">
        <v>1</v>
      </c>
    </row>
    <row r="2474" spans="2:6" x14ac:dyDescent="0.15">
      <c r="E2474" t="s">
        <v>1939</v>
      </c>
      <c r="F2474">
        <v>2</v>
      </c>
    </row>
    <row r="2475" spans="2:6" x14ac:dyDescent="0.15">
      <c r="E2475" t="s">
        <v>1002</v>
      </c>
      <c r="F2475">
        <v>1</v>
      </c>
    </row>
    <row r="2476" spans="2:6" x14ac:dyDescent="0.15">
      <c r="E2476" t="s">
        <v>1940</v>
      </c>
      <c r="F2476">
        <v>3</v>
      </c>
    </row>
    <row r="2477" spans="2:6" x14ac:dyDescent="0.15">
      <c r="E2477" t="s">
        <v>1941</v>
      </c>
      <c r="F2477">
        <v>4</v>
      </c>
    </row>
    <row r="2478" spans="2:6" x14ac:dyDescent="0.15">
      <c r="E2478" t="s">
        <v>1942</v>
      </c>
      <c r="F2478">
        <v>5</v>
      </c>
    </row>
    <row r="2479" spans="2:6" x14ac:dyDescent="0.15">
      <c r="E2479" t="s">
        <v>1903</v>
      </c>
      <c r="F2479">
        <v>9</v>
      </c>
    </row>
    <row r="2480" spans="2:6" x14ac:dyDescent="0.15">
      <c r="E2480" t="s">
        <v>972</v>
      </c>
      <c r="F2480">
        <v>9999</v>
      </c>
    </row>
    <row r="2481" spans="1:6" x14ac:dyDescent="0.15">
      <c r="E2481" t="s">
        <v>973</v>
      </c>
      <c r="F2481" t="s">
        <v>974</v>
      </c>
    </row>
    <row r="2482" spans="1:6" x14ac:dyDescent="0.15">
      <c r="E2482" t="s">
        <v>975</v>
      </c>
      <c r="F2482" t="s">
        <v>124</v>
      </c>
    </row>
    <row r="2483" spans="1:6" x14ac:dyDescent="0.15">
      <c r="B2483" t="s">
        <v>1943</v>
      </c>
      <c r="C2483" t="s">
        <v>1944</v>
      </c>
      <c r="D2483" t="s">
        <v>1945</v>
      </c>
      <c r="E2483" t="s">
        <v>1016</v>
      </c>
      <c r="F2483">
        <v>1</v>
      </c>
    </row>
    <row r="2484" spans="1:6" x14ac:dyDescent="0.15">
      <c r="E2484" t="s">
        <v>1001</v>
      </c>
      <c r="F2484">
        <v>0</v>
      </c>
    </row>
    <row r="2485" spans="1:6" x14ac:dyDescent="0.15">
      <c r="E2485" t="s">
        <v>1946</v>
      </c>
      <c r="F2485">
        <v>2</v>
      </c>
    </row>
    <row r="2486" spans="1:6" x14ac:dyDescent="0.15">
      <c r="E2486" t="s">
        <v>1002</v>
      </c>
      <c r="F2486">
        <v>1</v>
      </c>
    </row>
    <row r="2487" spans="1:6" x14ac:dyDescent="0.15">
      <c r="E2487" t="s">
        <v>1947</v>
      </c>
      <c r="F2487">
        <v>3</v>
      </c>
    </row>
    <row r="2488" spans="1:6" x14ac:dyDescent="0.15">
      <c r="E2488" t="s">
        <v>1948</v>
      </c>
      <c r="F2488">
        <v>4</v>
      </c>
    </row>
    <row r="2489" spans="1:6" x14ac:dyDescent="0.15">
      <c r="E2489" t="s">
        <v>1949</v>
      </c>
      <c r="F2489">
        <v>5</v>
      </c>
    </row>
    <row r="2490" spans="1:6" x14ac:dyDescent="0.15">
      <c r="E2490" t="s">
        <v>1903</v>
      </c>
      <c r="F2490">
        <v>9</v>
      </c>
    </row>
    <row r="2491" spans="1:6" x14ac:dyDescent="0.15">
      <c r="E2491" t="s">
        <v>972</v>
      </c>
      <c r="F2491">
        <v>9999</v>
      </c>
    </row>
    <row r="2492" spans="1:6" x14ac:dyDescent="0.15">
      <c r="E2492" t="s">
        <v>973</v>
      </c>
      <c r="F2492" t="s">
        <v>974</v>
      </c>
    </row>
    <row r="2493" spans="1:6" x14ac:dyDescent="0.15">
      <c r="E2493" t="s">
        <v>975</v>
      </c>
      <c r="F2493" t="s">
        <v>124</v>
      </c>
    </row>
    <row r="2494" spans="1:6" x14ac:dyDescent="0.15">
      <c r="A2494" t="s">
        <v>1950</v>
      </c>
      <c r="B2494" t="s">
        <v>1951</v>
      </c>
      <c r="C2494" t="s">
        <v>1952</v>
      </c>
      <c r="D2494" t="s">
        <v>1953</v>
      </c>
    </row>
    <row r="2495" spans="1:6" x14ac:dyDescent="0.15">
      <c r="B2495" t="s">
        <v>1954</v>
      </c>
      <c r="C2495" t="s">
        <v>1952</v>
      </c>
      <c r="D2495" t="s">
        <v>1955</v>
      </c>
    </row>
    <row r="2496" spans="1:6" x14ac:dyDescent="0.15">
      <c r="B2496" t="s">
        <v>1956</v>
      </c>
      <c r="C2496" t="s">
        <v>1957</v>
      </c>
      <c r="D2496" t="s">
        <v>1958</v>
      </c>
    </row>
    <row r="2497" spans="2:6" x14ac:dyDescent="0.15">
      <c r="B2497" t="s">
        <v>1959</v>
      </c>
      <c r="C2497" t="s">
        <v>1960</v>
      </c>
      <c r="D2497" t="s">
        <v>1961</v>
      </c>
    </row>
    <row r="2498" spans="2:6" x14ac:dyDescent="0.15">
      <c r="B2498" t="s">
        <v>1962</v>
      </c>
      <c r="C2498" t="s">
        <v>1963</v>
      </c>
      <c r="D2498" t="s">
        <v>1964</v>
      </c>
    </row>
    <row r="2499" spans="2:6" x14ac:dyDescent="0.15">
      <c r="B2499" t="s">
        <v>1965</v>
      </c>
      <c r="D2499" t="s">
        <v>1966</v>
      </c>
      <c r="E2499" t="s">
        <v>1967</v>
      </c>
      <c r="F2499">
        <v>1</v>
      </c>
    </row>
    <row r="2500" spans="2:6" x14ac:dyDescent="0.15">
      <c r="E2500" t="s">
        <v>1968</v>
      </c>
      <c r="F2500">
        <v>2</v>
      </c>
    </row>
    <row r="2501" spans="2:6" x14ac:dyDescent="0.15">
      <c r="E2501" t="s">
        <v>1969</v>
      </c>
      <c r="F2501">
        <v>3</v>
      </c>
    </row>
    <row r="2502" spans="2:6" x14ac:dyDescent="0.15">
      <c r="E2502" t="s">
        <v>973</v>
      </c>
      <c r="F2502" t="s">
        <v>974</v>
      </c>
    </row>
    <row r="2503" spans="2:6" x14ac:dyDescent="0.15">
      <c r="E2503" t="s">
        <v>975</v>
      </c>
      <c r="F2503" t="s">
        <v>124</v>
      </c>
    </row>
    <row r="2504" spans="2:6" x14ac:dyDescent="0.15">
      <c r="B2504" t="s">
        <v>1970</v>
      </c>
      <c r="D2504" t="s">
        <v>1971</v>
      </c>
      <c r="E2504" t="s">
        <v>1967</v>
      </c>
      <c r="F2504">
        <v>1</v>
      </c>
    </row>
    <row r="2505" spans="2:6" x14ac:dyDescent="0.15">
      <c r="E2505" t="s">
        <v>1968</v>
      </c>
      <c r="F2505">
        <v>2</v>
      </c>
    </row>
    <row r="2506" spans="2:6" x14ac:dyDescent="0.15">
      <c r="E2506" t="s">
        <v>1969</v>
      </c>
      <c r="F2506">
        <v>3</v>
      </c>
    </row>
    <row r="2507" spans="2:6" x14ac:dyDescent="0.15">
      <c r="E2507" t="s">
        <v>973</v>
      </c>
      <c r="F2507" t="s">
        <v>974</v>
      </c>
    </row>
    <row r="2508" spans="2:6" x14ac:dyDescent="0.15">
      <c r="E2508" t="s">
        <v>975</v>
      </c>
      <c r="F2508" t="s">
        <v>124</v>
      </c>
    </row>
    <row r="2509" spans="2:6" x14ac:dyDescent="0.15">
      <c r="B2509" t="s">
        <v>1972</v>
      </c>
      <c r="D2509" t="s">
        <v>1973</v>
      </c>
      <c r="E2509" t="s">
        <v>1967</v>
      </c>
      <c r="F2509">
        <v>1</v>
      </c>
    </row>
    <row r="2510" spans="2:6" x14ac:dyDescent="0.15">
      <c r="E2510" t="s">
        <v>1968</v>
      </c>
      <c r="F2510">
        <v>2</v>
      </c>
    </row>
    <row r="2511" spans="2:6" x14ac:dyDescent="0.15">
      <c r="E2511" t="s">
        <v>1969</v>
      </c>
      <c r="F2511">
        <v>3</v>
      </c>
    </row>
    <row r="2512" spans="2:6" x14ac:dyDescent="0.15">
      <c r="E2512" t="s">
        <v>973</v>
      </c>
      <c r="F2512" t="s">
        <v>974</v>
      </c>
    </row>
    <row r="2513" spans="2:6" x14ac:dyDescent="0.15">
      <c r="E2513" t="s">
        <v>975</v>
      </c>
      <c r="F2513" t="s">
        <v>124</v>
      </c>
    </row>
    <row r="2514" spans="2:6" x14ac:dyDescent="0.15">
      <c r="B2514" t="s">
        <v>1974</v>
      </c>
      <c r="D2514" t="s">
        <v>1975</v>
      </c>
      <c r="E2514" t="s">
        <v>1967</v>
      </c>
      <c r="F2514">
        <v>1</v>
      </c>
    </row>
    <row r="2515" spans="2:6" x14ac:dyDescent="0.15">
      <c r="E2515" t="s">
        <v>1968</v>
      </c>
      <c r="F2515">
        <v>2</v>
      </c>
    </row>
    <row r="2516" spans="2:6" x14ac:dyDescent="0.15">
      <c r="E2516" t="s">
        <v>1969</v>
      </c>
      <c r="F2516">
        <v>3</v>
      </c>
    </row>
    <row r="2517" spans="2:6" x14ac:dyDescent="0.15">
      <c r="E2517" t="s">
        <v>973</v>
      </c>
      <c r="F2517" t="s">
        <v>974</v>
      </c>
    </row>
    <row r="2518" spans="2:6" x14ac:dyDescent="0.15">
      <c r="E2518" t="s">
        <v>975</v>
      </c>
      <c r="F2518" t="s">
        <v>124</v>
      </c>
    </row>
    <row r="2519" spans="2:6" x14ac:dyDescent="0.15">
      <c r="B2519" t="s">
        <v>1976</v>
      </c>
      <c r="D2519" t="s">
        <v>1977</v>
      </c>
      <c r="E2519" t="s">
        <v>1967</v>
      </c>
      <c r="F2519">
        <v>1</v>
      </c>
    </row>
    <row r="2520" spans="2:6" x14ac:dyDescent="0.15">
      <c r="E2520" t="s">
        <v>1968</v>
      </c>
      <c r="F2520">
        <v>2</v>
      </c>
    </row>
    <row r="2521" spans="2:6" x14ac:dyDescent="0.15">
      <c r="E2521" t="s">
        <v>1969</v>
      </c>
      <c r="F2521">
        <v>3</v>
      </c>
    </row>
    <row r="2522" spans="2:6" x14ac:dyDescent="0.15">
      <c r="E2522" t="s">
        <v>973</v>
      </c>
      <c r="F2522" t="s">
        <v>974</v>
      </c>
    </row>
    <row r="2523" spans="2:6" x14ac:dyDescent="0.15">
      <c r="E2523" t="s">
        <v>975</v>
      </c>
      <c r="F2523" t="s">
        <v>124</v>
      </c>
    </row>
    <row r="2524" spans="2:6" x14ac:dyDescent="0.15">
      <c r="B2524" t="s">
        <v>1978</v>
      </c>
      <c r="D2524" t="s">
        <v>1979</v>
      </c>
      <c r="E2524" t="s">
        <v>1967</v>
      </c>
      <c r="F2524">
        <v>1</v>
      </c>
    </row>
    <row r="2525" spans="2:6" x14ac:dyDescent="0.15">
      <c r="E2525" t="s">
        <v>1968</v>
      </c>
      <c r="F2525">
        <v>2</v>
      </c>
    </row>
    <row r="2526" spans="2:6" x14ac:dyDescent="0.15">
      <c r="E2526" t="s">
        <v>1969</v>
      </c>
      <c r="F2526">
        <v>3</v>
      </c>
    </row>
    <row r="2527" spans="2:6" x14ac:dyDescent="0.15">
      <c r="E2527" t="s">
        <v>973</v>
      </c>
      <c r="F2527" t="s">
        <v>974</v>
      </c>
    </row>
    <row r="2528" spans="2:6" x14ac:dyDescent="0.15">
      <c r="E2528" t="s">
        <v>975</v>
      </c>
      <c r="F2528" t="s">
        <v>124</v>
      </c>
    </row>
    <row r="2529" spans="2:6" x14ac:dyDescent="0.15">
      <c r="B2529" t="s">
        <v>1980</v>
      </c>
      <c r="D2529" t="s">
        <v>1981</v>
      </c>
      <c r="E2529" t="s">
        <v>1967</v>
      </c>
      <c r="F2529">
        <v>1</v>
      </c>
    </row>
    <row r="2530" spans="2:6" x14ac:dyDescent="0.15">
      <c r="E2530" t="s">
        <v>1968</v>
      </c>
      <c r="F2530">
        <v>2</v>
      </c>
    </row>
    <row r="2531" spans="2:6" x14ac:dyDescent="0.15">
      <c r="E2531" t="s">
        <v>1969</v>
      </c>
      <c r="F2531">
        <v>3</v>
      </c>
    </row>
    <row r="2532" spans="2:6" x14ac:dyDescent="0.15">
      <c r="E2532" t="s">
        <v>973</v>
      </c>
      <c r="F2532" t="s">
        <v>974</v>
      </c>
    </row>
    <row r="2533" spans="2:6" x14ac:dyDescent="0.15">
      <c r="E2533" t="s">
        <v>975</v>
      </c>
      <c r="F2533" t="s">
        <v>124</v>
      </c>
    </row>
    <row r="2534" spans="2:6" x14ac:dyDescent="0.15">
      <c r="B2534" t="s">
        <v>1982</v>
      </c>
      <c r="D2534" t="s">
        <v>1983</v>
      </c>
      <c r="E2534" t="s">
        <v>1967</v>
      </c>
      <c r="F2534">
        <v>1</v>
      </c>
    </row>
    <row r="2535" spans="2:6" x14ac:dyDescent="0.15">
      <c r="E2535" t="s">
        <v>1968</v>
      </c>
      <c r="F2535">
        <v>2</v>
      </c>
    </row>
    <row r="2536" spans="2:6" x14ac:dyDescent="0.15">
      <c r="E2536" t="s">
        <v>1969</v>
      </c>
      <c r="F2536">
        <v>3</v>
      </c>
    </row>
    <row r="2537" spans="2:6" x14ac:dyDescent="0.15">
      <c r="E2537" t="s">
        <v>973</v>
      </c>
      <c r="F2537" t="s">
        <v>974</v>
      </c>
    </row>
    <row r="2538" spans="2:6" x14ac:dyDescent="0.15">
      <c r="E2538" t="s">
        <v>975</v>
      </c>
      <c r="F2538" t="s">
        <v>124</v>
      </c>
    </row>
    <row r="2539" spans="2:6" x14ac:dyDescent="0.15">
      <c r="B2539" t="s">
        <v>1984</v>
      </c>
      <c r="D2539" t="s">
        <v>1985</v>
      </c>
      <c r="E2539" t="s">
        <v>1967</v>
      </c>
      <c r="F2539">
        <v>1</v>
      </c>
    </row>
    <row r="2540" spans="2:6" x14ac:dyDescent="0.15">
      <c r="E2540" t="s">
        <v>1968</v>
      </c>
      <c r="F2540">
        <v>2</v>
      </c>
    </row>
    <row r="2541" spans="2:6" x14ac:dyDescent="0.15">
      <c r="E2541" t="s">
        <v>1969</v>
      </c>
      <c r="F2541">
        <v>3</v>
      </c>
    </row>
    <row r="2542" spans="2:6" x14ac:dyDescent="0.15">
      <c r="E2542" t="s">
        <v>973</v>
      </c>
      <c r="F2542" t="s">
        <v>974</v>
      </c>
    </row>
    <row r="2543" spans="2:6" x14ac:dyDescent="0.15">
      <c r="E2543" t="s">
        <v>975</v>
      </c>
      <c r="F2543" t="s">
        <v>124</v>
      </c>
    </row>
    <row r="2544" spans="2:6" x14ac:dyDescent="0.15">
      <c r="B2544" t="s">
        <v>1986</v>
      </c>
      <c r="D2544" t="s">
        <v>1987</v>
      </c>
      <c r="E2544" t="s">
        <v>1967</v>
      </c>
      <c r="F2544">
        <v>1</v>
      </c>
    </row>
    <row r="2545" spans="2:6" x14ac:dyDescent="0.15">
      <c r="E2545" t="s">
        <v>1968</v>
      </c>
      <c r="F2545">
        <v>2</v>
      </c>
    </row>
    <row r="2546" spans="2:6" x14ac:dyDescent="0.15">
      <c r="E2546" t="s">
        <v>1969</v>
      </c>
      <c r="F2546">
        <v>3</v>
      </c>
    </row>
    <row r="2547" spans="2:6" x14ac:dyDescent="0.15">
      <c r="E2547" t="s">
        <v>973</v>
      </c>
      <c r="F2547" t="s">
        <v>974</v>
      </c>
    </row>
    <row r="2548" spans="2:6" x14ac:dyDescent="0.15">
      <c r="E2548" t="s">
        <v>975</v>
      </c>
      <c r="F2548" t="s">
        <v>124</v>
      </c>
    </row>
    <row r="2549" spans="2:6" x14ac:dyDescent="0.15">
      <c r="B2549" t="s">
        <v>1988</v>
      </c>
      <c r="D2549" t="s">
        <v>1989</v>
      </c>
      <c r="E2549" t="s">
        <v>1967</v>
      </c>
      <c r="F2549">
        <v>1</v>
      </c>
    </row>
    <row r="2550" spans="2:6" x14ac:dyDescent="0.15">
      <c r="E2550" t="s">
        <v>1968</v>
      </c>
      <c r="F2550">
        <v>2</v>
      </c>
    </row>
    <row r="2551" spans="2:6" x14ac:dyDescent="0.15">
      <c r="E2551" t="s">
        <v>1969</v>
      </c>
      <c r="F2551">
        <v>3</v>
      </c>
    </row>
    <row r="2552" spans="2:6" x14ac:dyDescent="0.15">
      <c r="E2552" t="s">
        <v>973</v>
      </c>
      <c r="F2552" t="s">
        <v>974</v>
      </c>
    </row>
    <row r="2553" spans="2:6" x14ac:dyDescent="0.15">
      <c r="E2553" t="s">
        <v>975</v>
      </c>
      <c r="F2553" t="s">
        <v>124</v>
      </c>
    </row>
    <row r="2554" spans="2:6" x14ac:dyDescent="0.15">
      <c r="B2554" t="s">
        <v>1990</v>
      </c>
      <c r="D2554" t="s">
        <v>1991</v>
      </c>
      <c r="E2554" t="s">
        <v>1967</v>
      </c>
      <c r="F2554">
        <v>1</v>
      </c>
    </row>
    <row r="2555" spans="2:6" x14ac:dyDescent="0.15">
      <c r="E2555" t="s">
        <v>1968</v>
      </c>
      <c r="F2555">
        <v>2</v>
      </c>
    </row>
    <row r="2556" spans="2:6" x14ac:dyDescent="0.15">
      <c r="E2556" t="s">
        <v>1969</v>
      </c>
      <c r="F2556">
        <v>3</v>
      </c>
    </row>
    <row r="2557" spans="2:6" x14ac:dyDescent="0.15">
      <c r="E2557" t="s">
        <v>973</v>
      </c>
      <c r="F2557" t="s">
        <v>974</v>
      </c>
    </row>
    <row r="2558" spans="2:6" x14ac:dyDescent="0.15">
      <c r="E2558" t="s">
        <v>975</v>
      </c>
      <c r="F2558" t="s">
        <v>124</v>
      </c>
    </row>
    <row r="2559" spans="2:6" x14ac:dyDescent="0.15">
      <c r="B2559" t="s">
        <v>1992</v>
      </c>
      <c r="D2559" t="s">
        <v>1993</v>
      </c>
      <c r="E2559" t="s">
        <v>1967</v>
      </c>
      <c r="F2559">
        <v>1</v>
      </c>
    </row>
    <row r="2560" spans="2:6" x14ac:dyDescent="0.15">
      <c r="E2560" t="s">
        <v>1968</v>
      </c>
      <c r="F2560">
        <v>2</v>
      </c>
    </row>
    <row r="2561" spans="2:6" x14ac:dyDescent="0.15">
      <c r="E2561" t="s">
        <v>1969</v>
      </c>
      <c r="F2561">
        <v>3</v>
      </c>
    </row>
    <row r="2562" spans="2:6" x14ac:dyDescent="0.15">
      <c r="E2562" t="s">
        <v>973</v>
      </c>
      <c r="F2562" t="s">
        <v>974</v>
      </c>
    </row>
    <row r="2563" spans="2:6" x14ac:dyDescent="0.15">
      <c r="E2563" t="s">
        <v>975</v>
      </c>
      <c r="F2563" t="s">
        <v>124</v>
      </c>
    </row>
    <row r="2564" spans="2:6" x14ac:dyDescent="0.15">
      <c r="B2564" t="s">
        <v>1994</v>
      </c>
      <c r="D2564" t="s">
        <v>1995</v>
      </c>
      <c r="E2564" t="s">
        <v>1967</v>
      </c>
      <c r="F2564">
        <v>1</v>
      </c>
    </row>
    <row r="2565" spans="2:6" x14ac:dyDescent="0.15">
      <c r="E2565" t="s">
        <v>1968</v>
      </c>
      <c r="F2565">
        <v>2</v>
      </c>
    </row>
    <row r="2566" spans="2:6" x14ac:dyDescent="0.15">
      <c r="E2566" t="s">
        <v>1969</v>
      </c>
      <c r="F2566">
        <v>3</v>
      </c>
    </row>
    <row r="2567" spans="2:6" x14ac:dyDescent="0.15">
      <c r="E2567" t="s">
        <v>973</v>
      </c>
      <c r="F2567" t="s">
        <v>974</v>
      </c>
    </row>
    <row r="2568" spans="2:6" x14ac:dyDescent="0.15">
      <c r="E2568" t="s">
        <v>975</v>
      </c>
      <c r="F2568" t="s">
        <v>124</v>
      </c>
    </row>
    <row r="2569" spans="2:6" x14ac:dyDescent="0.15">
      <c r="B2569" t="s">
        <v>1996</v>
      </c>
      <c r="D2569" t="s">
        <v>1997</v>
      </c>
      <c r="E2569" t="s">
        <v>1967</v>
      </c>
      <c r="F2569">
        <v>1</v>
      </c>
    </row>
    <row r="2570" spans="2:6" x14ac:dyDescent="0.15">
      <c r="E2570" t="s">
        <v>1968</v>
      </c>
      <c r="F2570">
        <v>2</v>
      </c>
    </row>
    <row r="2571" spans="2:6" x14ac:dyDescent="0.15">
      <c r="E2571" t="s">
        <v>1969</v>
      </c>
      <c r="F2571">
        <v>3</v>
      </c>
    </row>
    <row r="2572" spans="2:6" x14ac:dyDescent="0.15">
      <c r="E2572" t="s">
        <v>973</v>
      </c>
      <c r="F2572" t="s">
        <v>974</v>
      </c>
    </row>
    <row r="2573" spans="2:6" x14ac:dyDescent="0.15">
      <c r="E2573" t="s">
        <v>975</v>
      </c>
      <c r="F2573" t="s">
        <v>124</v>
      </c>
    </row>
    <row r="2574" spans="2:6" x14ac:dyDescent="0.15">
      <c r="B2574" t="s">
        <v>1998</v>
      </c>
      <c r="D2574" t="s">
        <v>1999</v>
      </c>
      <c r="E2574" t="s">
        <v>1967</v>
      </c>
      <c r="F2574">
        <v>1</v>
      </c>
    </row>
    <row r="2575" spans="2:6" x14ac:dyDescent="0.15">
      <c r="E2575" t="s">
        <v>1968</v>
      </c>
      <c r="F2575">
        <v>2</v>
      </c>
    </row>
    <row r="2576" spans="2:6" x14ac:dyDescent="0.15">
      <c r="E2576" t="s">
        <v>1969</v>
      </c>
      <c r="F2576">
        <v>3</v>
      </c>
    </row>
    <row r="2577" spans="1:6" x14ac:dyDescent="0.15">
      <c r="E2577" t="s">
        <v>973</v>
      </c>
      <c r="F2577" t="s">
        <v>974</v>
      </c>
    </row>
    <row r="2578" spans="1:6" x14ac:dyDescent="0.15">
      <c r="E2578" t="s">
        <v>975</v>
      </c>
      <c r="F2578" t="s">
        <v>124</v>
      </c>
    </row>
    <row r="2579" spans="1:6" x14ac:dyDescent="0.15">
      <c r="B2579" t="s">
        <v>2000</v>
      </c>
      <c r="D2579" t="s">
        <v>2001</v>
      </c>
      <c r="E2579" t="s">
        <v>1967</v>
      </c>
      <c r="F2579">
        <v>1</v>
      </c>
    </row>
    <row r="2580" spans="1:6" x14ac:dyDescent="0.15">
      <c r="E2580" t="s">
        <v>1968</v>
      </c>
      <c r="F2580">
        <v>2</v>
      </c>
    </row>
    <row r="2581" spans="1:6" x14ac:dyDescent="0.15">
      <c r="E2581" t="s">
        <v>1969</v>
      </c>
      <c r="F2581">
        <v>3</v>
      </c>
    </row>
    <row r="2582" spans="1:6" x14ac:dyDescent="0.15">
      <c r="E2582" t="s">
        <v>973</v>
      </c>
      <c r="F2582" t="s">
        <v>974</v>
      </c>
    </row>
    <row r="2583" spans="1:6" x14ac:dyDescent="0.15">
      <c r="E2583" t="s">
        <v>975</v>
      </c>
      <c r="F2583" t="s">
        <v>124</v>
      </c>
    </row>
    <row r="2584" spans="1:6" x14ac:dyDescent="0.15">
      <c r="B2584" t="s">
        <v>2002</v>
      </c>
      <c r="D2584" t="s">
        <v>2003</v>
      </c>
      <c r="E2584" t="s">
        <v>1967</v>
      </c>
      <c r="F2584">
        <v>1</v>
      </c>
    </row>
    <row r="2585" spans="1:6" x14ac:dyDescent="0.15">
      <c r="E2585" t="s">
        <v>1968</v>
      </c>
      <c r="F2585">
        <v>2</v>
      </c>
    </row>
    <row r="2586" spans="1:6" x14ac:dyDescent="0.15">
      <c r="E2586" t="s">
        <v>1969</v>
      </c>
      <c r="F2586">
        <v>3</v>
      </c>
    </row>
    <row r="2587" spans="1:6" x14ac:dyDescent="0.15">
      <c r="E2587" t="s">
        <v>973</v>
      </c>
      <c r="F2587" t="s">
        <v>974</v>
      </c>
    </row>
    <row r="2588" spans="1:6" x14ac:dyDescent="0.15">
      <c r="E2588" t="s">
        <v>975</v>
      </c>
      <c r="F2588" t="s">
        <v>124</v>
      </c>
    </row>
    <row r="2589" spans="1:6" x14ac:dyDescent="0.15">
      <c r="A2589" t="s">
        <v>2004</v>
      </c>
      <c r="B2589" t="s">
        <v>2005</v>
      </c>
      <c r="C2589" t="s">
        <v>2006</v>
      </c>
      <c r="D2589" t="s">
        <v>2007</v>
      </c>
    </row>
    <row r="2590" spans="1:6" x14ac:dyDescent="0.15">
      <c r="B2590" t="s">
        <v>2008</v>
      </c>
      <c r="C2590" t="s">
        <v>2009</v>
      </c>
      <c r="D2590" t="s">
        <v>2010</v>
      </c>
    </row>
    <row r="2591" spans="1:6" x14ac:dyDescent="0.15">
      <c r="B2591" t="s">
        <v>2008</v>
      </c>
      <c r="C2591" t="s">
        <v>2011</v>
      </c>
      <c r="D2591" t="s">
        <v>2012</v>
      </c>
    </row>
    <row r="2592" spans="1:6" x14ac:dyDescent="0.15">
      <c r="B2592" t="s">
        <v>2013</v>
      </c>
      <c r="C2592" t="s">
        <v>2006</v>
      </c>
      <c r="D2592" t="s">
        <v>2014</v>
      </c>
    </row>
    <row r="2593" spans="1:6" x14ac:dyDescent="0.15">
      <c r="B2593" t="s">
        <v>2013</v>
      </c>
      <c r="C2593" t="s">
        <v>2009</v>
      </c>
      <c r="D2593" t="s">
        <v>2015</v>
      </c>
    </row>
    <row r="2594" spans="1:6" x14ac:dyDescent="0.15">
      <c r="B2594" t="s">
        <v>2013</v>
      </c>
      <c r="C2594" t="s">
        <v>2011</v>
      </c>
      <c r="D2594" t="s">
        <v>2016</v>
      </c>
    </row>
    <row r="2595" spans="1:6" x14ac:dyDescent="0.15">
      <c r="B2595" t="s">
        <v>2017</v>
      </c>
      <c r="C2595" t="s">
        <v>2006</v>
      </c>
      <c r="D2595" t="s">
        <v>2018</v>
      </c>
    </row>
    <row r="2596" spans="1:6" x14ac:dyDescent="0.15">
      <c r="B2596" t="s">
        <v>2017</v>
      </c>
      <c r="C2596" t="s">
        <v>2009</v>
      </c>
      <c r="D2596" t="s">
        <v>2019</v>
      </c>
    </row>
    <row r="2597" spans="1:6" x14ac:dyDescent="0.15">
      <c r="B2597" t="s">
        <v>2017</v>
      </c>
      <c r="C2597" t="s">
        <v>2011</v>
      </c>
      <c r="D2597" t="s">
        <v>2020</v>
      </c>
    </row>
    <row r="2598" spans="1:6" x14ac:dyDescent="0.15">
      <c r="B2598" t="s">
        <v>2021</v>
      </c>
      <c r="C2598" t="s">
        <v>2006</v>
      </c>
      <c r="D2598" t="s">
        <v>2022</v>
      </c>
    </row>
    <row r="2599" spans="1:6" x14ac:dyDescent="0.15">
      <c r="B2599" t="s">
        <v>2021</v>
      </c>
      <c r="C2599" t="s">
        <v>2009</v>
      </c>
      <c r="D2599" t="s">
        <v>2023</v>
      </c>
    </row>
    <row r="2600" spans="1:6" x14ac:dyDescent="0.15">
      <c r="B2600" t="s">
        <v>2021</v>
      </c>
      <c r="C2600" t="s">
        <v>2009</v>
      </c>
      <c r="D2600" t="s">
        <v>2024</v>
      </c>
    </row>
    <row r="2601" spans="1:6" x14ac:dyDescent="0.15">
      <c r="B2601" t="s">
        <v>2025</v>
      </c>
      <c r="C2601" t="s">
        <v>2006</v>
      </c>
      <c r="D2601" t="s">
        <v>2026</v>
      </c>
    </row>
    <row r="2602" spans="1:6" x14ac:dyDescent="0.15">
      <c r="B2602" t="s">
        <v>2025</v>
      </c>
      <c r="C2602" t="s">
        <v>2009</v>
      </c>
      <c r="D2602" t="s">
        <v>2027</v>
      </c>
    </row>
    <row r="2603" spans="1:6" x14ac:dyDescent="0.15">
      <c r="B2603" t="s">
        <v>2025</v>
      </c>
      <c r="C2603" t="s">
        <v>2011</v>
      </c>
      <c r="D2603" t="s">
        <v>2028</v>
      </c>
    </row>
    <row r="2604" spans="1:6" x14ac:dyDescent="0.15">
      <c r="B2604" t="s">
        <v>2029</v>
      </c>
      <c r="C2604" t="s">
        <v>2006</v>
      </c>
      <c r="D2604" t="s">
        <v>2030</v>
      </c>
    </row>
    <row r="2605" spans="1:6" x14ac:dyDescent="0.15">
      <c r="B2605" t="s">
        <v>2029</v>
      </c>
      <c r="C2605" t="s">
        <v>2009</v>
      </c>
      <c r="D2605" t="s">
        <v>2031</v>
      </c>
    </row>
    <row r="2606" spans="1:6" x14ac:dyDescent="0.15">
      <c r="B2606" t="s">
        <v>2029</v>
      </c>
      <c r="C2606" t="s">
        <v>2032</v>
      </c>
      <c r="D2606" t="s">
        <v>2033</v>
      </c>
    </row>
    <row r="2607" spans="1:6" x14ac:dyDescent="0.15">
      <c r="A2607" t="s">
        <v>2034</v>
      </c>
      <c r="B2607" t="s">
        <v>2035</v>
      </c>
      <c r="D2607" t="s">
        <v>2036</v>
      </c>
      <c r="E2607" t="s">
        <v>2037</v>
      </c>
      <c r="F2607">
        <v>0</v>
      </c>
    </row>
    <row r="2608" spans="1:6" x14ac:dyDescent="0.15">
      <c r="E2608" t="s">
        <v>2038</v>
      </c>
      <c r="F2608">
        <v>1</v>
      </c>
    </row>
    <row r="2609" spans="2:6" x14ac:dyDescent="0.15">
      <c r="E2609" t="s">
        <v>2039</v>
      </c>
      <c r="F2609">
        <v>2</v>
      </c>
    </row>
    <row r="2610" spans="2:6" x14ac:dyDescent="0.15">
      <c r="E2610" t="s">
        <v>2040</v>
      </c>
      <c r="F2610">
        <v>3</v>
      </c>
    </row>
    <row r="2611" spans="2:6" x14ac:dyDescent="0.15">
      <c r="E2611" t="s">
        <v>2041</v>
      </c>
      <c r="F2611">
        <v>4</v>
      </c>
    </row>
    <row r="2612" spans="2:6" x14ac:dyDescent="0.15">
      <c r="E2612" t="s">
        <v>973</v>
      </c>
      <c r="F2612" t="s">
        <v>974</v>
      </c>
    </row>
    <row r="2613" spans="2:6" x14ac:dyDescent="0.15">
      <c r="E2613" t="s">
        <v>975</v>
      </c>
      <c r="F2613" t="s">
        <v>124</v>
      </c>
    </row>
    <row r="2614" spans="2:6" x14ac:dyDescent="0.15">
      <c r="B2614" t="s">
        <v>2042</v>
      </c>
      <c r="D2614" t="s">
        <v>2043</v>
      </c>
      <c r="E2614" t="s">
        <v>2037</v>
      </c>
      <c r="F2614">
        <v>0</v>
      </c>
    </row>
    <row r="2615" spans="2:6" x14ac:dyDescent="0.15">
      <c r="E2615" t="s">
        <v>2044</v>
      </c>
      <c r="F2615">
        <v>1</v>
      </c>
    </row>
    <row r="2616" spans="2:6" x14ac:dyDescent="0.15">
      <c r="E2616" t="s">
        <v>2045</v>
      </c>
      <c r="F2616">
        <v>2</v>
      </c>
    </row>
    <row r="2617" spans="2:6" x14ac:dyDescent="0.15">
      <c r="E2617" t="s">
        <v>2046</v>
      </c>
      <c r="F2617">
        <v>3</v>
      </c>
    </row>
    <row r="2618" spans="2:6" x14ac:dyDescent="0.15">
      <c r="E2618" t="s">
        <v>2047</v>
      </c>
      <c r="F2618">
        <v>4</v>
      </c>
    </row>
    <row r="2619" spans="2:6" x14ac:dyDescent="0.15">
      <c r="E2619" t="s">
        <v>973</v>
      </c>
      <c r="F2619" t="s">
        <v>974</v>
      </c>
    </row>
    <row r="2620" spans="2:6" x14ac:dyDescent="0.15">
      <c r="E2620" t="s">
        <v>975</v>
      </c>
      <c r="F2620" t="s">
        <v>124</v>
      </c>
    </row>
    <row r="2621" spans="2:6" x14ac:dyDescent="0.15">
      <c r="B2621" t="s">
        <v>2048</v>
      </c>
      <c r="D2621" t="s">
        <v>2049</v>
      </c>
      <c r="E2621" t="s">
        <v>2050</v>
      </c>
      <c r="F2621">
        <v>0</v>
      </c>
    </row>
    <row r="2622" spans="2:6" x14ac:dyDescent="0.15">
      <c r="E2622" t="s">
        <v>2051</v>
      </c>
      <c r="F2622">
        <v>1</v>
      </c>
    </row>
    <row r="2623" spans="2:6" x14ac:dyDescent="0.15">
      <c r="E2623" t="s">
        <v>2052</v>
      </c>
      <c r="F2623">
        <v>2</v>
      </c>
    </row>
    <row r="2624" spans="2:6" x14ac:dyDescent="0.15">
      <c r="E2624" t="s">
        <v>2053</v>
      </c>
      <c r="F2624">
        <v>3</v>
      </c>
    </row>
    <row r="2625" spans="2:6" x14ac:dyDescent="0.15">
      <c r="E2625" t="s">
        <v>2054</v>
      </c>
      <c r="F2625">
        <v>4</v>
      </c>
    </row>
    <row r="2626" spans="2:6" x14ac:dyDescent="0.15">
      <c r="E2626" t="s">
        <v>973</v>
      </c>
      <c r="F2626" t="s">
        <v>974</v>
      </c>
    </row>
    <row r="2627" spans="2:6" x14ac:dyDescent="0.15">
      <c r="E2627" t="s">
        <v>975</v>
      </c>
      <c r="F2627" t="s">
        <v>124</v>
      </c>
    </row>
    <row r="2628" spans="2:6" x14ac:dyDescent="0.15">
      <c r="B2628" t="s">
        <v>2055</v>
      </c>
      <c r="D2628" t="s">
        <v>2056</v>
      </c>
      <c r="E2628" t="s">
        <v>2057</v>
      </c>
      <c r="F2628">
        <v>0</v>
      </c>
    </row>
    <row r="2629" spans="2:6" x14ac:dyDescent="0.15">
      <c r="E2629" t="s">
        <v>2058</v>
      </c>
      <c r="F2629">
        <v>1</v>
      </c>
    </row>
    <row r="2630" spans="2:6" x14ac:dyDescent="0.15">
      <c r="E2630" t="s">
        <v>2059</v>
      </c>
      <c r="F2630">
        <v>2</v>
      </c>
    </row>
    <row r="2631" spans="2:6" x14ac:dyDescent="0.15">
      <c r="E2631" t="s">
        <v>2060</v>
      </c>
      <c r="F2631">
        <v>3</v>
      </c>
    </row>
    <row r="2632" spans="2:6" x14ac:dyDescent="0.15">
      <c r="E2632" t="s">
        <v>2061</v>
      </c>
      <c r="F2632">
        <v>4</v>
      </c>
    </row>
    <row r="2633" spans="2:6" x14ac:dyDescent="0.15">
      <c r="E2633" t="s">
        <v>973</v>
      </c>
      <c r="F2633" t="s">
        <v>974</v>
      </c>
    </row>
    <row r="2634" spans="2:6" x14ac:dyDescent="0.15">
      <c r="E2634" t="s">
        <v>975</v>
      </c>
      <c r="F2634" t="s">
        <v>124</v>
      </c>
    </row>
    <row r="2635" spans="2:6" x14ac:dyDescent="0.15">
      <c r="B2635" t="s">
        <v>2062</v>
      </c>
      <c r="D2635" t="s">
        <v>2063</v>
      </c>
      <c r="E2635" t="s">
        <v>2037</v>
      </c>
      <c r="F2635">
        <v>0</v>
      </c>
    </row>
    <row r="2636" spans="2:6" x14ac:dyDescent="0.15">
      <c r="E2636" t="s">
        <v>2064</v>
      </c>
      <c r="F2636">
        <v>1</v>
      </c>
    </row>
    <row r="2637" spans="2:6" x14ac:dyDescent="0.15">
      <c r="E2637" t="s">
        <v>2065</v>
      </c>
      <c r="F2637">
        <v>2</v>
      </c>
    </row>
    <row r="2638" spans="2:6" x14ac:dyDescent="0.15">
      <c r="E2638" t="s">
        <v>2066</v>
      </c>
      <c r="F2638">
        <v>3</v>
      </c>
    </row>
    <row r="2639" spans="2:6" x14ac:dyDescent="0.15">
      <c r="E2639" t="s">
        <v>2067</v>
      </c>
      <c r="F2639">
        <v>4</v>
      </c>
    </row>
    <row r="2640" spans="2:6" x14ac:dyDescent="0.15">
      <c r="E2640" t="s">
        <v>973</v>
      </c>
      <c r="F2640" t="s">
        <v>974</v>
      </c>
    </row>
    <row r="2641" spans="2:6" x14ac:dyDescent="0.15">
      <c r="E2641" t="s">
        <v>975</v>
      </c>
      <c r="F2641" t="s">
        <v>124</v>
      </c>
    </row>
    <row r="2642" spans="2:6" x14ac:dyDescent="0.15">
      <c r="B2642" t="s">
        <v>2068</v>
      </c>
      <c r="D2642" t="s">
        <v>2069</v>
      </c>
      <c r="E2642" t="s">
        <v>2070</v>
      </c>
      <c r="F2642">
        <v>0</v>
      </c>
    </row>
    <row r="2643" spans="2:6" x14ac:dyDescent="0.15">
      <c r="E2643" t="s">
        <v>2071</v>
      </c>
      <c r="F2643">
        <v>2</v>
      </c>
    </row>
    <row r="2644" spans="2:6" x14ac:dyDescent="0.15">
      <c r="E2644" t="s">
        <v>2072</v>
      </c>
      <c r="F2644">
        <v>4</v>
      </c>
    </row>
    <row r="2645" spans="2:6" x14ac:dyDescent="0.15">
      <c r="E2645" t="s">
        <v>2073</v>
      </c>
      <c r="F2645">
        <v>6</v>
      </c>
    </row>
    <row r="2646" spans="2:6" x14ac:dyDescent="0.15">
      <c r="E2646" t="s">
        <v>2074</v>
      </c>
      <c r="F2646">
        <v>8</v>
      </c>
    </row>
    <row r="2647" spans="2:6" x14ac:dyDescent="0.15">
      <c r="E2647" t="s">
        <v>973</v>
      </c>
      <c r="F2647" t="s">
        <v>974</v>
      </c>
    </row>
    <row r="2648" spans="2:6" x14ac:dyDescent="0.15">
      <c r="E2648" t="s">
        <v>975</v>
      </c>
      <c r="F2648" t="s">
        <v>124</v>
      </c>
    </row>
    <row r="2649" spans="2:6" x14ac:dyDescent="0.15">
      <c r="B2649" t="s">
        <v>2075</v>
      </c>
      <c r="D2649" t="s">
        <v>2076</v>
      </c>
      <c r="E2649" t="s">
        <v>2037</v>
      </c>
      <c r="F2649">
        <v>0</v>
      </c>
    </row>
    <row r="2650" spans="2:6" x14ac:dyDescent="0.15">
      <c r="E2650" t="s">
        <v>2077</v>
      </c>
      <c r="F2650">
        <v>1</v>
      </c>
    </row>
    <row r="2651" spans="2:6" x14ac:dyDescent="0.15">
      <c r="E2651" t="s">
        <v>2078</v>
      </c>
      <c r="F2651">
        <v>2</v>
      </c>
    </row>
    <row r="2652" spans="2:6" x14ac:dyDescent="0.15">
      <c r="E2652" t="s">
        <v>2079</v>
      </c>
      <c r="F2652">
        <v>3</v>
      </c>
    </row>
    <row r="2653" spans="2:6" x14ac:dyDescent="0.15">
      <c r="E2653" t="s">
        <v>2080</v>
      </c>
      <c r="F2653">
        <v>4</v>
      </c>
    </row>
    <row r="2654" spans="2:6" x14ac:dyDescent="0.15">
      <c r="E2654" t="s">
        <v>973</v>
      </c>
      <c r="F2654" t="s">
        <v>974</v>
      </c>
    </row>
    <row r="2655" spans="2:6" x14ac:dyDescent="0.15">
      <c r="E2655" t="s">
        <v>975</v>
      </c>
      <c r="F2655" t="s">
        <v>124</v>
      </c>
    </row>
    <row r="2656" spans="2:6" x14ac:dyDescent="0.15">
      <c r="B2656" t="s">
        <v>2081</v>
      </c>
      <c r="D2656" t="s">
        <v>2082</v>
      </c>
      <c r="E2656" t="s">
        <v>2083</v>
      </c>
      <c r="F2656">
        <v>0</v>
      </c>
    </row>
    <row r="2657" spans="2:6" x14ac:dyDescent="0.15">
      <c r="E2657" t="s">
        <v>2084</v>
      </c>
      <c r="F2657">
        <v>2</v>
      </c>
    </row>
    <row r="2658" spans="2:6" x14ac:dyDescent="0.15">
      <c r="E2658" t="s">
        <v>2085</v>
      </c>
      <c r="F2658">
        <v>4</v>
      </c>
    </row>
    <row r="2659" spans="2:6" x14ac:dyDescent="0.15">
      <c r="E2659" t="s">
        <v>2086</v>
      </c>
      <c r="F2659">
        <v>6</v>
      </c>
    </row>
    <row r="2660" spans="2:6" x14ac:dyDescent="0.15">
      <c r="E2660" t="s">
        <v>2087</v>
      </c>
      <c r="F2660">
        <v>8</v>
      </c>
    </row>
    <row r="2661" spans="2:6" x14ac:dyDescent="0.15">
      <c r="E2661" t="s">
        <v>973</v>
      </c>
      <c r="F2661" t="s">
        <v>974</v>
      </c>
    </row>
    <row r="2662" spans="2:6" x14ac:dyDescent="0.15">
      <c r="E2662" t="s">
        <v>975</v>
      </c>
      <c r="F2662" t="s">
        <v>124</v>
      </c>
    </row>
    <row r="2663" spans="2:6" x14ac:dyDescent="0.15">
      <c r="B2663" t="s">
        <v>2088</v>
      </c>
      <c r="D2663" t="s">
        <v>2089</v>
      </c>
      <c r="E2663" t="s">
        <v>2037</v>
      </c>
      <c r="F2663">
        <v>0</v>
      </c>
    </row>
    <row r="2664" spans="2:6" x14ac:dyDescent="0.15">
      <c r="E2664" t="s">
        <v>2090</v>
      </c>
      <c r="F2664">
        <v>2</v>
      </c>
    </row>
    <row r="2665" spans="2:6" x14ac:dyDescent="0.15">
      <c r="E2665" t="s">
        <v>2091</v>
      </c>
      <c r="F2665">
        <v>4</v>
      </c>
    </row>
    <row r="2666" spans="2:6" x14ac:dyDescent="0.15">
      <c r="E2666" t="s">
        <v>2092</v>
      </c>
      <c r="F2666">
        <v>6</v>
      </c>
    </row>
    <row r="2667" spans="2:6" x14ac:dyDescent="0.15">
      <c r="E2667" t="s">
        <v>2093</v>
      </c>
      <c r="F2667">
        <v>8</v>
      </c>
    </row>
    <row r="2668" spans="2:6" x14ac:dyDescent="0.15">
      <c r="E2668" t="s">
        <v>973</v>
      </c>
      <c r="F2668" t="s">
        <v>974</v>
      </c>
    </row>
    <row r="2669" spans="2:6" x14ac:dyDescent="0.15">
      <c r="E2669" t="s">
        <v>975</v>
      </c>
      <c r="F2669" t="s">
        <v>124</v>
      </c>
    </row>
    <row r="2670" spans="2:6" x14ac:dyDescent="0.15">
      <c r="B2670" t="s">
        <v>2094</v>
      </c>
      <c r="D2670" t="s">
        <v>2095</v>
      </c>
      <c r="E2670" t="s">
        <v>2096</v>
      </c>
      <c r="F2670">
        <v>0</v>
      </c>
    </row>
    <row r="2671" spans="2:6" x14ac:dyDescent="0.15">
      <c r="E2671" t="s">
        <v>2097</v>
      </c>
      <c r="F2671">
        <v>1</v>
      </c>
    </row>
    <row r="2672" spans="2:6" x14ac:dyDescent="0.15">
      <c r="E2672" t="s">
        <v>2098</v>
      </c>
      <c r="F2672">
        <v>2</v>
      </c>
    </row>
    <row r="2673" spans="2:6" x14ac:dyDescent="0.15">
      <c r="E2673" t="s">
        <v>2099</v>
      </c>
      <c r="F2673">
        <v>3</v>
      </c>
    </row>
    <row r="2674" spans="2:6" x14ac:dyDescent="0.15">
      <c r="E2674" t="s">
        <v>2100</v>
      </c>
      <c r="F2674">
        <v>4</v>
      </c>
    </row>
    <row r="2675" spans="2:6" x14ac:dyDescent="0.15">
      <c r="E2675" t="s">
        <v>973</v>
      </c>
      <c r="F2675" t="s">
        <v>974</v>
      </c>
    </row>
    <row r="2676" spans="2:6" x14ac:dyDescent="0.15">
      <c r="E2676" t="s">
        <v>975</v>
      </c>
      <c r="F2676" t="s">
        <v>124</v>
      </c>
    </row>
    <row r="2677" spans="2:6" x14ac:dyDescent="0.15">
      <c r="B2677" t="s">
        <v>2101</v>
      </c>
      <c r="D2677" t="s">
        <v>2102</v>
      </c>
      <c r="E2677" t="s">
        <v>2103</v>
      </c>
      <c r="F2677">
        <v>0</v>
      </c>
    </row>
    <row r="2678" spans="2:6" x14ac:dyDescent="0.15">
      <c r="E2678" t="s">
        <v>2104</v>
      </c>
      <c r="F2678">
        <v>1</v>
      </c>
    </row>
    <row r="2679" spans="2:6" x14ac:dyDescent="0.15">
      <c r="E2679" t="s">
        <v>2105</v>
      </c>
      <c r="F2679">
        <v>2</v>
      </c>
    </row>
    <row r="2680" spans="2:6" x14ac:dyDescent="0.15">
      <c r="E2680" t="s">
        <v>2106</v>
      </c>
      <c r="F2680">
        <v>3</v>
      </c>
    </row>
    <row r="2681" spans="2:6" x14ac:dyDescent="0.15">
      <c r="E2681" t="s">
        <v>2107</v>
      </c>
      <c r="F2681">
        <v>4</v>
      </c>
    </row>
    <row r="2682" spans="2:6" x14ac:dyDescent="0.15">
      <c r="E2682" t="s">
        <v>973</v>
      </c>
      <c r="F2682" t="s">
        <v>974</v>
      </c>
    </row>
    <row r="2683" spans="2:6" x14ac:dyDescent="0.15">
      <c r="E2683" t="s">
        <v>975</v>
      </c>
      <c r="F2683" t="s">
        <v>124</v>
      </c>
    </row>
  </sheetData>
  <pageMargins left="0.7" right="0.7" top="0.75" bottom="0.75" header="0.3" footer="0.3"/>
</worksheet>
</file>